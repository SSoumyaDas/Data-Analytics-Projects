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https://d.docs.live.net/d2bade18df2b0c14/Documents/"/>
    </mc:Choice>
  </mc:AlternateContent>
  <xr:revisionPtr revIDLastSave="75" documentId="8_{969F2E6C-0820-4F22-87AF-A5AE65F1F11C}" xr6:coauthVersionLast="47" xr6:coauthVersionMax="47" xr10:uidLastSave="{4C786A01-C1F0-464A-8DE6-836527613B42}"/>
  <bookViews>
    <workbookView xWindow="-108" yWindow="-108" windowWidth="23256" windowHeight="12456" firstSheet="7" activeTab="11" xr2:uid="{F74D5B0B-834C-44D3-9AFD-3D6C583412C2}"/>
  </bookViews>
  <sheets>
    <sheet name="Raw_Data " sheetId="2" r:id="rId1"/>
    <sheet name="Data_Cleaning" sheetId="3" r:id="rId2"/>
    <sheet name="Analysis" sheetId="4" r:id="rId3"/>
    <sheet name="PT_Product_Revenue" sheetId="7" r:id="rId4"/>
    <sheet name="PT_Product_Sales" sheetId="8" r:id="rId5"/>
    <sheet name="PT_Supplier_Revenue" sheetId="9" r:id="rId6"/>
    <sheet name="PT_Supplier_LeadTime" sheetId="10" r:id="rId7"/>
    <sheet name="PT_Transportation" sheetId="11" r:id="rId8"/>
    <sheet name="PT_Inspection" sheetId="12" r:id="rId9"/>
    <sheet name="Top-_10_Product" sheetId="14" r:id="rId10"/>
    <sheet name="PT_Defect_Rate_Supplier" sheetId="17" r:id="rId11"/>
    <sheet name="Dashboard" sheetId="20" r:id="rId12"/>
  </sheets>
  <definedNames>
    <definedName name="ExternalData_1" localSheetId="1" hidden="1">Data_Cleaning!$A$1:$X$101</definedName>
    <definedName name="ExternalData_1" localSheetId="0" hidden="1">'Raw_Data '!$A$1:$X$101</definedName>
    <definedName name="Slicer_Location">#N/A</definedName>
    <definedName name="Slicer_Product_type">#N/A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4" l="1"/>
  <c r="B5" i="4"/>
  <c r="B11" i="4"/>
  <c r="B10" i="4"/>
  <c r="B9" i="4"/>
  <c r="B8" i="4"/>
  <c r="B7" i="4"/>
  <c r="B4" i="4"/>
  <c r="B3" i="4"/>
  <c r="Y75" i="3"/>
  <c r="Z75" i="3"/>
  <c r="AA75" i="3"/>
  <c r="AB75" i="3"/>
  <c r="AC75" i="3"/>
  <c r="AD75" i="3"/>
  <c r="AE20" i="3"/>
  <c r="AE85" i="3"/>
  <c r="AD3" i="3"/>
  <c r="AD4" i="3"/>
  <c r="AD5" i="3"/>
  <c r="AD6" i="3"/>
  <c r="AD7" i="3"/>
  <c r="AD8" i="3"/>
  <c r="AD9" i="3"/>
  <c r="AD10" i="3"/>
  <c r="AD11" i="3"/>
  <c r="AD12" i="3"/>
  <c r="AD13" i="3"/>
  <c r="AD14" i="3"/>
  <c r="AD15" i="3"/>
  <c r="AD16" i="3"/>
  <c r="AD17" i="3"/>
  <c r="AD18" i="3"/>
  <c r="AD19" i="3"/>
  <c r="AD20" i="3"/>
  <c r="AD21" i="3"/>
  <c r="AD22" i="3"/>
  <c r="AD23" i="3"/>
  <c r="AD24" i="3"/>
  <c r="AD25" i="3"/>
  <c r="AD26" i="3"/>
  <c r="AD27" i="3"/>
  <c r="AD28" i="3"/>
  <c r="AD29" i="3"/>
  <c r="AD30" i="3"/>
  <c r="AD31" i="3"/>
  <c r="AD32" i="3"/>
  <c r="AD33" i="3"/>
  <c r="AD34" i="3"/>
  <c r="AD35" i="3"/>
  <c r="AD36" i="3"/>
  <c r="AD37" i="3"/>
  <c r="AD38" i="3"/>
  <c r="AD39" i="3"/>
  <c r="AD40" i="3"/>
  <c r="AD41" i="3"/>
  <c r="AD42" i="3"/>
  <c r="AD43" i="3"/>
  <c r="AD44" i="3"/>
  <c r="AD45" i="3"/>
  <c r="AD46" i="3"/>
  <c r="AD47" i="3"/>
  <c r="AD48" i="3"/>
  <c r="AD49" i="3"/>
  <c r="AD50" i="3"/>
  <c r="AD51" i="3"/>
  <c r="AD52" i="3"/>
  <c r="AD53" i="3"/>
  <c r="AD54" i="3"/>
  <c r="AD55" i="3"/>
  <c r="AD56" i="3"/>
  <c r="AD57" i="3"/>
  <c r="AD58" i="3"/>
  <c r="AD59" i="3"/>
  <c r="AD60" i="3"/>
  <c r="AD61" i="3"/>
  <c r="AD62" i="3"/>
  <c r="AD63" i="3"/>
  <c r="AD64" i="3"/>
  <c r="AD65" i="3"/>
  <c r="AD66" i="3"/>
  <c r="AD67" i="3"/>
  <c r="AD68" i="3"/>
  <c r="AD69" i="3"/>
  <c r="AD70" i="3"/>
  <c r="AD71" i="3"/>
  <c r="AD72" i="3"/>
  <c r="AD73" i="3"/>
  <c r="AD74" i="3"/>
  <c r="AD76" i="3"/>
  <c r="AD77" i="3"/>
  <c r="AD78" i="3"/>
  <c r="AD79" i="3"/>
  <c r="AD80" i="3"/>
  <c r="AD81" i="3"/>
  <c r="AD82" i="3"/>
  <c r="AD83" i="3"/>
  <c r="AD84" i="3"/>
  <c r="AD85" i="3"/>
  <c r="AD86" i="3"/>
  <c r="AD87" i="3"/>
  <c r="AD88" i="3"/>
  <c r="AD89" i="3"/>
  <c r="AD90" i="3"/>
  <c r="AD91" i="3"/>
  <c r="AD92" i="3"/>
  <c r="AD93" i="3"/>
  <c r="AD94" i="3"/>
  <c r="AD95" i="3"/>
  <c r="AD96" i="3"/>
  <c r="AD97" i="3"/>
  <c r="AD98" i="3"/>
  <c r="AD99" i="3"/>
  <c r="AD100" i="3"/>
  <c r="AD101" i="3"/>
  <c r="AD2" i="3"/>
  <c r="AC3" i="3"/>
  <c r="AC4" i="3"/>
  <c r="AE4" i="3" s="1"/>
  <c r="AC5" i="3"/>
  <c r="AC6" i="3"/>
  <c r="AC7" i="3"/>
  <c r="AC8" i="3"/>
  <c r="AE8" i="3" s="1"/>
  <c r="AC9" i="3"/>
  <c r="AC10" i="3"/>
  <c r="AE10" i="3" s="1"/>
  <c r="AC11" i="3"/>
  <c r="AC12" i="3"/>
  <c r="AC13" i="3"/>
  <c r="AC14" i="3"/>
  <c r="AC15" i="3"/>
  <c r="AC16" i="3"/>
  <c r="AC17" i="3"/>
  <c r="AC18" i="3"/>
  <c r="AE18" i="3" s="1"/>
  <c r="AC19" i="3"/>
  <c r="AC20" i="3"/>
  <c r="AC21" i="3"/>
  <c r="AC22" i="3"/>
  <c r="AC23" i="3"/>
  <c r="AC24" i="3"/>
  <c r="AC25" i="3"/>
  <c r="AC26" i="3"/>
  <c r="AE26" i="3" s="1"/>
  <c r="AC27" i="3"/>
  <c r="AC28" i="3"/>
  <c r="AE28" i="3" s="1"/>
  <c r="AC29" i="3"/>
  <c r="AC30" i="3"/>
  <c r="AC31" i="3"/>
  <c r="AC32" i="3"/>
  <c r="AC33" i="3"/>
  <c r="AC34" i="3"/>
  <c r="AE34" i="3" s="1"/>
  <c r="AC35" i="3"/>
  <c r="AC36" i="3"/>
  <c r="AE36" i="3" s="1"/>
  <c r="AC37" i="3"/>
  <c r="AC38" i="3"/>
  <c r="AC39" i="3"/>
  <c r="AC40" i="3"/>
  <c r="AC41" i="3"/>
  <c r="AC42" i="3"/>
  <c r="AE42" i="3" s="1"/>
  <c r="AC43" i="3"/>
  <c r="AC44" i="3"/>
  <c r="AC45" i="3"/>
  <c r="AC46" i="3"/>
  <c r="AC47" i="3"/>
  <c r="AC48" i="3"/>
  <c r="AC49" i="3"/>
  <c r="AC50" i="3"/>
  <c r="AE50" i="3" s="1"/>
  <c r="AC51" i="3"/>
  <c r="AC52" i="3"/>
  <c r="AC53" i="3"/>
  <c r="AC54" i="3"/>
  <c r="AC55" i="3"/>
  <c r="AC56" i="3"/>
  <c r="AC57" i="3"/>
  <c r="AC58" i="3"/>
  <c r="AE58" i="3" s="1"/>
  <c r="AC59" i="3"/>
  <c r="AC60" i="3"/>
  <c r="AE60" i="3" s="1"/>
  <c r="AC61" i="3"/>
  <c r="AC62" i="3"/>
  <c r="AC63" i="3"/>
  <c r="AC64" i="3"/>
  <c r="AC65" i="3"/>
  <c r="AC66" i="3"/>
  <c r="AE66" i="3" s="1"/>
  <c r="AC67" i="3"/>
  <c r="AC68" i="3"/>
  <c r="AE68" i="3" s="1"/>
  <c r="AC69" i="3"/>
  <c r="AC70" i="3"/>
  <c r="AC71" i="3"/>
  <c r="AC72" i="3"/>
  <c r="AC73" i="3"/>
  <c r="AC74" i="3"/>
  <c r="AE74" i="3" s="1"/>
  <c r="AC76" i="3"/>
  <c r="AC77" i="3"/>
  <c r="AC78" i="3"/>
  <c r="AC79" i="3"/>
  <c r="AC80" i="3"/>
  <c r="AC81" i="3"/>
  <c r="AC82" i="3"/>
  <c r="AC83" i="3"/>
  <c r="AE83" i="3" s="1"/>
  <c r="AC84" i="3"/>
  <c r="AC85" i="3"/>
  <c r="AC86" i="3"/>
  <c r="AC87" i="3"/>
  <c r="AC88" i="3"/>
  <c r="AC89" i="3"/>
  <c r="AC90" i="3"/>
  <c r="AC91" i="3"/>
  <c r="AE91" i="3" s="1"/>
  <c r="AC92" i="3"/>
  <c r="AC93" i="3"/>
  <c r="AE93" i="3" s="1"/>
  <c r="AC94" i="3"/>
  <c r="AC95" i="3"/>
  <c r="AC96" i="3"/>
  <c r="AC97" i="3"/>
  <c r="AC98" i="3"/>
  <c r="AC99" i="3"/>
  <c r="AE99" i="3" s="1"/>
  <c r="AC100" i="3"/>
  <c r="AC101" i="3"/>
  <c r="AE101" i="3" s="1"/>
  <c r="AC2" i="3"/>
  <c r="AB3" i="3"/>
  <c r="AB4" i="3"/>
  <c r="AB5" i="3"/>
  <c r="AB6" i="3"/>
  <c r="AB7" i="3"/>
  <c r="AB8" i="3"/>
  <c r="AB9" i="3"/>
  <c r="AB10" i="3"/>
  <c r="AB11" i="3"/>
  <c r="AB12" i="3"/>
  <c r="AB13" i="3"/>
  <c r="AB14" i="3"/>
  <c r="AB15" i="3"/>
  <c r="AB16" i="3"/>
  <c r="AB17" i="3"/>
  <c r="AB18" i="3"/>
  <c r="AB19" i="3"/>
  <c r="AB20" i="3"/>
  <c r="AB21" i="3"/>
  <c r="AB22" i="3"/>
  <c r="AB23" i="3"/>
  <c r="AB24" i="3"/>
  <c r="AB25" i="3"/>
  <c r="AB26" i="3"/>
  <c r="AB27" i="3"/>
  <c r="AB28" i="3"/>
  <c r="AB29" i="3"/>
  <c r="AB30" i="3"/>
  <c r="AB31" i="3"/>
  <c r="AB32" i="3"/>
  <c r="AB33" i="3"/>
  <c r="AB34" i="3"/>
  <c r="AB35" i="3"/>
  <c r="AB36" i="3"/>
  <c r="AB37" i="3"/>
  <c r="AB38" i="3"/>
  <c r="AB39" i="3"/>
  <c r="AB40" i="3"/>
  <c r="AB41" i="3"/>
  <c r="AB42" i="3"/>
  <c r="AB43" i="3"/>
  <c r="AB44" i="3"/>
  <c r="AB45" i="3"/>
  <c r="AB46" i="3"/>
  <c r="AB47" i="3"/>
  <c r="AB48" i="3"/>
  <c r="AB49" i="3"/>
  <c r="AB50" i="3"/>
  <c r="AB51" i="3"/>
  <c r="AB52" i="3"/>
  <c r="AB53" i="3"/>
  <c r="AB54" i="3"/>
  <c r="AB55" i="3"/>
  <c r="AB56" i="3"/>
  <c r="AB57" i="3"/>
  <c r="AB58" i="3"/>
  <c r="AB59" i="3"/>
  <c r="AB60" i="3"/>
  <c r="AB61" i="3"/>
  <c r="AB62" i="3"/>
  <c r="AB63" i="3"/>
  <c r="AB64" i="3"/>
  <c r="AB65" i="3"/>
  <c r="AB66" i="3"/>
  <c r="AB67" i="3"/>
  <c r="AB68" i="3"/>
  <c r="AB69" i="3"/>
  <c r="AB70" i="3"/>
  <c r="AB71" i="3"/>
  <c r="AB72" i="3"/>
  <c r="AB73" i="3"/>
  <c r="AB74" i="3"/>
  <c r="AB76" i="3"/>
  <c r="AB77" i="3"/>
  <c r="AB78" i="3"/>
  <c r="AB79" i="3"/>
  <c r="AB80" i="3"/>
  <c r="AB81" i="3"/>
  <c r="AB82" i="3"/>
  <c r="AB83" i="3"/>
  <c r="AB84" i="3"/>
  <c r="AB85" i="3"/>
  <c r="AB86" i="3"/>
  <c r="AB87" i="3"/>
  <c r="AB88" i="3"/>
  <c r="AB89" i="3"/>
  <c r="AB90" i="3"/>
  <c r="AB91" i="3"/>
  <c r="AB92" i="3"/>
  <c r="AB93" i="3"/>
  <c r="AB94" i="3"/>
  <c r="AB95" i="3"/>
  <c r="AB96" i="3"/>
  <c r="AB97" i="3"/>
  <c r="AB98" i="3"/>
  <c r="AB99" i="3"/>
  <c r="AB100" i="3"/>
  <c r="AB101" i="3"/>
  <c r="AB2" i="3"/>
  <c r="AA3" i="3"/>
  <c r="AA4" i="3"/>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2" i="3"/>
  <c r="Z3" i="3"/>
  <c r="Z4" i="3"/>
  <c r="Z5" i="3"/>
  <c r="Z6" i="3"/>
  <c r="Z7" i="3"/>
  <c r="Z8" i="3"/>
  <c r="Z9" i="3"/>
  <c r="Z10" i="3"/>
  <c r="Z11" i="3"/>
  <c r="Z12" i="3"/>
  <c r="Z13" i="3"/>
  <c r="Z14" i="3"/>
  <c r="Z15" i="3"/>
  <c r="Z16" i="3"/>
  <c r="Z17" i="3"/>
  <c r="Z18" i="3"/>
  <c r="Z19" i="3"/>
  <c r="Z20" i="3"/>
  <c r="Z21" i="3"/>
  <c r="Z22" i="3"/>
  <c r="Z23" i="3"/>
  <c r="Z24" i="3"/>
  <c r="Z25" i="3"/>
  <c r="Z26" i="3"/>
  <c r="Z27" i="3"/>
  <c r="Z28" i="3"/>
  <c r="Z29" i="3"/>
  <c r="Z30" i="3"/>
  <c r="Z31" i="3"/>
  <c r="Z32" i="3"/>
  <c r="Z33" i="3"/>
  <c r="Z34" i="3"/>
  <c r="Z35" i="3"/>
  <c r="Z36" i="3"/>
  <c r="Z37" i="3"/>
  <c r="Z38" i="3"/>
  <c r="Z39" i="3"/>
  <c r="Z40" i="3"/>
  <c r="Z41" i="3"/>
  <c r="Z42" i="3"/>
  <c r="Z43" i="3"/>
  <c r="Z44" i="3"/>
  <c r="Z45" i="3"/>
  <c r="Z46" i="3"/>
  <c r="Z47" i="3"/>
  <c r="Z48" i="3"/>
  <c r="Z49" i="3"/>
  <c r="Z50" i="3"/>
  <c r="Z51" i="3"/>
  <c r="Z52" i="3"/>
  <c r="Z53" i="3"/>
  <c r="Z54" i="3"/>
  <c r="Z55" i="3"/>
  <c r="Z56" i="3"/>
  <c r="Z57" i="3"/>
  <c r="Z58" i="3"/>
  <c r="Z59" i="3"/>
  <c r="Z60" i="3"/>
  <c r="Z61" i="3"/>
  <c r="Z62" i="3"/>
  <c r="Z63" i="3"/>
  <c r="Z64" i="3"/>
  <c r="Z65" i="3"/>
  <c r="Z66" i="3"/>
  <c r="Z67" i="3"/>
  <c r="Z68" i="3"/>
  <c r="Z69" i="3"/>
  <c r="Z70" i="3"/>
  <c r="Z71" i="3"/>
  <c r="Z72" i="3"/>
  <c r="Z73" i="3"/>
  <c r="Z74" i="3"/>
  <c r="Z76" i="3"/>
  <c r="Z77" i="3"/>
  <c r="Z78" i="3"/>
  <c r="Z79" i="3"/>
  <c r="Z80" i="3"/>
  <c r="Z81" i="3"/>
  <c r="Z82" i="3"/>
  <c r="Z83" i="3"/>
  <c r="Z84" i="3"/>
  <c r="Z85" i="3"/>
  <c r="Z86" i="3"/>
  <c r="Z87" i="3"/>
  <c r="Z88" i="3"/>
  <c r="Z89" i="3"/>
  <c r="Z90" i="3"/>
  <c r="Z91" i="3"/>
  <c r="Z92" i="3"/>
  <c r="Z93" i="3"/>
  <c r="Z94" i="3"/>
  <c r="Z95" i="3"/>
  <c r="Z96" i="3"/>
  <c r="Z97" i="3"/>
  <c r="Z98" i="3"/>
  <c r="Z99" i="3"/>
  <c r="Z100" i="3"/>
  <c r="Z101" i="3"/>
  <c r="Z2" i="3"/>
  <c r="Y3" i="3"/>
  <c r="Y4" i="3"/>
  <c r="Y5" i="3"/>
  <c r="Y6" i="3"/>
  <c r="Y7" i="3"/>
  <c r="Y8" i="3"/>
  <c r="Y9" i="3"/>
  <c r="Y10" i="3"/>
  <c r="Y11" i="3"/>
  <c r="Y12" i="3"/>
  <c r="Y13" i="3"/>
  <c r="Y14" i="3"/>
  <c r="Y15" i="3"/>
  <c r="Y16" i="3"/>
  <c r="Y17" i="3"/>
  <c r="Y18" i="3"/>
  <c r="Y19" i="3"/>
  <c r="Y20" i="3"/>
  <c r="Y21" i="3"/>
  <c r="Y22" i="3"/>
  <c r="Y23" i="3"/>
  <c r="Y24" i="3"/>
  <c r="Y25" i="3"/>
  <c r="Y26" i="3"/>
  <c r="Y27" i="3"/>
  <c r="Y28" i="3"/>
  <c r="Y29" i="3"/>
  <c r="Y30" i="3"/>
  <c r="Y31" i="3"/>
  <c r="Y32" i="3"/>
  <c r="Y33" i="3"/>
  <c r="Y34" i="3"/>
  <c r="Y35" i="3"/>
  <c r="Y36" i="3"/>
  <c r="Y37" i="3"/>
  <c r="Y38" i="3"/>
  <c r="Y39" i="3"/>
  <c r="Y40" i="3"/>
  <c r="Y41" i="3"/>
  <c r="Y42" i="3"/>
  <c r="Y43" i="3"/>
  <c r="Y44" i="3"/>
  <c r="Y45" i="3"/>
  <c r="Y46" i="3"/>
  <c r="Y47" i="3"/>
  <c r="Y48" i="3"/>
  <c r="Y49" i="3"/>
  <c r="Y50" i="3"/>
  <c r="Y51" i="3"/>
  <c r="Y52" i="3"/>
  <c r="Y53" i="3"/>
  <c r="Y54" i="3"/>
  <c r="Y55" i="3"/>
  <c r="Y56" i="3"/>
  <c r="Y57" i="3"/>
  <c r="Y58" i="3"/>
  <c r="Y59" i="3"/>
  <c r="Y60" i="3"/>
  <c r="Y61" i="3"/>
  <c r="Y62" i="3"/>
  <c r="Y63" i="3"/>
  <c r="Y64" i="3"/>
  <c r="Y65" i="3"/>
  <c r="Y66" i="3"/>
  <c r="Y67" i="3"/>
  <c r="Y68" i="3"/>
  <c r="Y69" i="3"/>
  <c r="Y70" i="3"/>
  <c r="Y71" i="3"/>
  <c r="Y72" i="3"/>
  <c r="Y73" i="3"/>
  <c r="Y74" i="3"/>
  <c r="Y76" i="3"/>
  <c r="Y77" i="3"/>
  <c r="Y78" i="3"/>
  <c r="Y79" i="3"/>
  <c r="Y80" i="3"/>
  <c r="Y81" i="3"/>
  <c r="Y82" i="3"/>
  <c r="Y83" i="3"/>
  <c r="Y84" i="3"/>
  <c r="Y85" i="3"/>
  <c r="Y86" i="3"/>
  <c r="Y87" i="3"/>
  <c r="Y88" i="3"/>
  <c r="Y89" i="3"/>
  <c r="Y90" i="3"/>
  <c r="Y91" i="3"/>
  <c r="Y92" i="3"/>
  <c r="Y93" i="3"/>
  <c r="Y94" i="3"/>
  <c r="Y95" i="3"/>
  <c r="Y96" i="3"/>
  <c r="Y97" i="3"/>
  <c r="Y98" i="3"/>
  <c r="Y99" i="3"/>
  <c r="Y100" i="3"/>
  <c r="Y101" i="3"/>
  <c r="Y2" i="3"/>
  <c r="AE98" i="3" l="1"/>
  <c r="AE90" i="3"/>
  <c r="AE82" i="3"/>
  <c r="AE73" i="3"/>
  <c r="AE65" i="3"/>
  <c r="AE57" i="3"/>
  <c r="AE49" i="3"/>
  <c r="AE41" i="3"/>
  <c r="AE33" i="3"/>
  <c r="AE25" i="3"/>
  <c r="AE17" i="3"/>
  <c r="AE9" i="3"/>
  <c r="AE77" i="3"/>
  <c r="AE52" i="3"/>
  <c r="AE44" i="3"/>
  <c r="AE12" i="3"/>
  <c r="AE75" i="3"/>
  <c r="AE2" i="3"/>
  <c r="AE94" i="3"/>
  <c r="AE86" i="3"/>
  <c r="AE78" i="3"/>
  <c r="AE69" i="3"/>
  <c r="AE61" i="3"/>
  <c r="AE53" i="3"/>
  <c r="AE45" i="3"/>
  <c r="AE37" i="3"/>
  <c r="AE29" i="3"/>
  <c r="AE21" i="3"/>
  <c r="AE13" i="3"/>
  <c r="AE5" i="3"/>
  <c r="AE97" i="3"/>
  <c r="AE89" i="3"/>
  <c r="AE81" i="3"/>
  <c r="AE72" i="3"/>
  <c r="AE64" i="3"/>
  <c r="AE56" i="3"/>
  <c r="AE48" i="3"/>
  <c r="AE40" i="3"/>
  <c r="AE32" i="3"/>
  <c r="AE24" i="3"/>
  <c r="AE16" i="3"/>
  <c r="AE100" i="3"/>
  <c r="AE92" i="3"/>
  <c r="AE84" i="3"/>
  <c r="AE76" i="3"/>
  <c r="AE67" i="3"/>
  <c r="AE59" i="3"/>
  <c r="AE51" i="3"/>
  <c r="AE43" i="3"/>
  <c r="AE35" i="3"/>
  <c r="AE27" i="3"/>
  <c r="AE19" i="3"/>
  <c r="AE11" i="3"/>
  <c r="AE3" i="3"/>
  <c r="AE96" i="3"/>
  <c r="AE88" i="3"/>
  <c r="AE80" i="3"/>
  <c r="AE71" i="3"/>
  <c r="AE63" i="3"/>
  <c r="AE55" i="3"/>
  <c r="AE47" i="3"/>
  <c r="AE39" i="3"/>
  <c r="AE31" i="3"/>
  <c r="AE23" i="3"/>
  <c r="AE15" i="3"/>
  <c r="AE7" i="3"/>
  <c r="AE95" i="3"/>
  <c r="AE87" i="3"/>
  <c r="AE79" i="3"/>
  <c r="AE70" i="3"/>
  <c r="AE62" i="3"/>
  <c r="AE54" i="3"/>
  <c r="AE46" i="3"/>
  <c r="AE38" i="3"/>
  <c r="AE30" i="3"/>
  <c r="AE22" i="3"/>
  <c r="AE14" i="3"/>
  <c r="AE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9F52A32-9446-4311-8072-F9DBC7C9ABFF}" keepAlive="1" name="Query - supply_chain_data" description="Connection to the 'supply_chain_data' query in the workbook." type="5" refreshedVersion="8" background="1" saveData="1">
    <dbPr connection="Provider=Microsoft.Mashup.OleDb.1;Data Source=$Workbook$;Location=supply_chain_data;Extended Properties=&quot;&quot;" command="SELECT * FROM [supply_chain_data]"/>
  </connection>
  <connection id="2" xr16:uid="{2461FB26-3954-48B2-922C-01154DCC0993}" keepAlive="1" name="Query - supply_chain_data (2)" description="Connection to the 'supply_chain_data (2)' query in the workbook." type="5" refreshedVersion="8" background="1" saveData="1">
    <dbPr connection="Provider=Microsoft.Mashup.OleDb.1;Data Source=$Workbook$;Location=&quot;supply_chain_data (2)&quot;;Extended Properties=&quot;&quot;" command="SELECT * FROM [supply_chain_data (2)]"/>
  </connection>
</connections>
</file>

<file path=xl/sharedStrings.xml><?xml version="1.0" encoding="utf-8"?>
<sst xmlns="http://schemas.openxmlformats.org/spreadsheetml/2006/main" count="1927" uniqueCount="193">
  <si>
    <t>Product type</t>
  </si>
  <si>
    <t>SKU</t>
  </si>
  <si>
    <t>Price</t>
  </si>
  <si>
    <t>Availability</t>
  </si>
  <si>
    <t>Number of products sold</t>
  </si>
  <si>
    <t>Revenue generated</t>
  </si>
  <si>
    <t>Customer demographics</t>
  </si>
  <si>
    <t>Stock levels</t>
  </si>
  <si>
    <t>Lead times</t>
  </si>
  <si>
    <t>Order quantities</t>
  </si>
  <si>
    <t>Shipping times</t>
  </si>
  <si>
    <t>Shipping carriers</t>
  </si>
  <si>
    <t>Shipping costs</t>
  </si>
  <si>
    <t>Supplier name</t>
  </si>
  <si>
    <t>Location</t>
  </si>
  <si>
    <t>Lead time</t>
  </si>
  <si>
    <t>Production volumes</t>
  </si>
  <si>
    <t>Manufacturing lead time</t>
  </si>
  <si>
    <t>Manufacturing costs</t>
  </si>
  <si>
    <t>Inspection results</t>
  </si>
  <si>
    <t>Defect rates</t>
  </si>
  <si>
    <t>Transportation modes</t>
  </si>
  <si>
    <t>Routes</t>
  </si>
  <si>
    <t>Costs</t>
  </si>
  <si>
    <t>haircare</t>
  </si>
  <si>
    <t>SKU0</t>
  </si>
  <si>
    <t>Non-binary</t>
  </si>
  <si>
    <t>Carrier B</t>
  </si>
  <si>
    <t>Supplier 3</t>
  </si>
  <si>
    <t>Mumbai</t>
  </si>
  <si>
    <t>Pending</t>
  </si>
  <si>
    <t>Road</t>
  </si>
  <si>
    <t>Route B</t>
  </si>
  <si>
    <t>skincare</t>
  </si>
  <si>
    <t>SKU1</t>
  </si>
  <si>
    <t>Female</t>
  </si>
  <si>
    <t>Carrier A</t>
  </si>
  <si>
    <t>SKU2</t>
  </si>
  <si>
    <t>Unknown</t>
  </si>
  <si>
    <t>Supplier 1</t>
  </si>
  <si>
    <t>Air</t>
  </si>
  <si>
    <t>Route C</t>
  </si>
  <si>
    <t>SKU3</t>
  </si>
  <si>
    <t>Carrier C</t>
  </si>
  <si>
    <t>Supplier 5</t>
  </si>
  <si>
    <t>Kolkata</t>
  </si>
  <si>
    <t>Fail</t>
  </si>
  <si>
    <t>Rail</t>
  </si>
  <si>
    <t>Route A</t>
  </si>
  <si>
    <t>SKU4</t>
  </si>
  <si>
    <t>Delhi</t>
  </si>
  <si>
    <t>SKU5</t>
  </si>
  <si>
    <t>Supplier 4</t>
  </si>
  <si>
    <t>Bangalore</t>
  </si>
  <si>
    <t>SKU6</t>
  </si>
  <si>
    <t>Male</t>
  </si>
  <si>
    <t>Sea</t>
  </si>
  <si>
    <t>cosmetics</t>
  </si>
  <si>
    <t>SKU7</t>
  </si>
  <si>
    <t>SKU8</t>
  </si>
  <si>
    <t>SKU9</t>
  </si>
  <si>
    <t>Supplier 2</t>
  </si>
  <si>
    <t>Chennai</t>
  </si>
  <si>
    <t>SKU10</t>
  </si>
  <si>
    <t>Pass</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</si>
  <si>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</si>
  <si>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</si>
  <si>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</si>
  <si>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</si>
  <si>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</si>
  <si>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</si>
  <si>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</si>
  <si>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</si>
  <si>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</si>
  <si>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</si>
  <si>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</si>
  <si>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</si>
  <si>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</si>
  <si>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</si>
  <si>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</si>
  <si>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</si>
  <si>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</si>
  <si>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</si>
  <si>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</si>
  <si>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</si>
  <si>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</si>
  <si>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</si>
  <si>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</si>
  <si>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</si>
  <si>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</si>
  <si>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</si>
  <si>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</si>
  <si>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</si>
  <si>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</si>
  <si>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</si>
  <si>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</si>
  <si>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</si>
  <si>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</si>
  <si>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</si>
  <si>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</si>
  <si>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</si>
  <si>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</si>
  <si>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</si>
  <si>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</si>
  <si>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</si>
  <si>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</si>
  <si>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</si>
  <si>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</si>
  <si>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</si>
  <si>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</si>
  <si>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</si>
  <si>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</si>
  <si>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</si>
  <si>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</si>
  <si>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</si>
  <si>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</si>
  <si>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</si>
  <si>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</si>
  <si>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</si>
  <si>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</si>
  <si>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</si>
  <si>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</si>
  <si>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</si>
  <si>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</si>
  <si>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</si>
  <si>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</si>
  <si>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</si>
  <si>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</si>
  <si>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</si>
  <si>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</si>
  <si>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</si>
  <si>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</si>
  <si>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</si>
  <si>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</si>
  <si>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</si>
  <si>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</si>
  <si>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</si>
  <si>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</si>
  <si>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</si>
  <si>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</si>
  <si>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</si>
  <si>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</si>
  <si>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</si>
  <si>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</si>
  <si>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</si>
  <si>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</si>
  <si>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</si>
  <si>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</si>
  <si>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</si>
  <si>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</si>
  <si>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</si>
  <si>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</si>
  <si>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</si>
  <si>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</si>
  <si>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Revenue per Unit</t>
  </si>
  <si>
    <t>Number_of_products sold</t>
  </si>
  <si>
    <t xml:space="preserve">Revenue_generated </t>
  </si>
  <si>
    <t>Inventory_Status</t>
  </si>
  <si>
    <t>Stock_levels</t>
  </si>
  <si>
    <t>Lead_Time_Category</t>
  </si>
  <si>
    <t>Lead_time</t>
  </si>
  <si>
    <t>Defect_Status</t>
  </si>
  <si>
    <t>Defect_rates</t>
  </si>
  <si>
    <t>Estimated_Manufacturing_Cost</t>
  </si>
  <si>
    <t>Production_volumes</t>
  </si>
  <si>
    <t>Manufacturing_lead_time</t>
  </si>
  <si>
    <t>Manufacturing_costs</t>
  </si>
  <si>
    <t>Estimated_Shipping_Cost</t>
  </si>
  <si>
    <t>Supplier_name</t>
  </si>
  <si>
    <t>Shipping_costs</t>
  </si>
  <si>
    <t>Shipping_carriers</t>
  </si>
  <si>
    <t>Shipping_times</t>
  </si>
  <si>
    <t>Order_quantities</t>
  </si>
  <si>
    <t>Lead_times</t>
  </si>
  <si>
    <t>Customer_demographics</t>
  </si>
  <si>
    <t>Total Products Sold</t>
  </si>
  <si>
    <t>Estimated Total Profit</t>
  </si>
  <si>
    <t>Total_Revenue</t>
  </si>
  <si>
    <t>Average_Defect_Rate</t>
  </si>
  <si>
    <t>Total_Estimated_Shipping_Cost</t>
  </si>
  <si>
    <t>Total_Production_Volume</t>
  </si>
  <si>
    <t>Average_Manufacturing_Cost</t>
  </si>
  <si>
    <t>Average_Shipping_Time</t>
  </si>
  <si>
    <t>Estimated_Profit/Loss</t>
  </si>
  <si>
    <t>Row Labels</t>
  </si>
  <si>
    <t>Grand Total</t>
  </si>
  <si>
    <t xml:space="preserve">Sum of Revenue_generated </t>
  </si>
  <si>
    <t>Sum of Number_of_products sold</t>
  </si>
  <si>
    <t>Average of Lead_time</t>
  </si>
  <si>
    <t>Sum of Shipping_costs</t>
  </si>
  <si>
    <t>Average of Shipping_times</t>
  </si>
  <si>
    <t>Count of SKU</t>
  </si>
  <si>
    <t>Average of Defect_rates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</si>
</sst>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quot;₹&quot;\ #,##0.00"/>
    <numFmt numFmtId="165" formatCode="0.0"/>
    <numFmt numFmtId="166" formatCode="&quot;₹&quot;\ #,##0"/>
    <numFmt numFmtId="167" formatCode="_ * #,##0_ ;_ * \-#,##0_ ;_ * &quot;-&quot;??_ ;_ @_ "/>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13">
    <xf numFmtId="0" fontId="0" fillId="0" borderId="0" xfId="0"/>
    <xf numFmtId="164" fontId="0" fillId="0" borderId="0" xfId="0" applyNumberFormat="1"/>
    <xf numFmtId="2" fontId="0" fillId="0" borderId="0" xfId="0" applyNumberFormat="1"/>
    <xf numFmtId="1" fontId="0" fillId="0" borderId="0" xfId="0" applyNumberFormat="1"/>
    <xf numFmtId="165" fontId="0" fillId="0" borderId="0" xfId="0" applyNumberFormat="1"/>
    <xf numFmtId="166" fontId="0" fillId="0" borderId="0" xfId="0" applyNumberFormat="1"/>
    <xf numFmtId="0" fontId="0" fillId="0" borderId="0" xfId="0" applyAlignment="1">
      <alignment vertical="center" wrapText="1"/>
    </xf>
    <xf numFmtId="167" fontId="0" fillId="0" borderId="0" xfId="1" applyNumberFormat="1" applyFont="1"/>
    <xf numFmtId="0" fontId="0" fillId="0" borderId="0" xfId="0" applyAlignment="1">
      <alignment vertical="center"/>
    </xf>
    <xf numFmtId="0" fontId="0" fillId="0" borderId="0" xfId="0" pivotButton="1"/>
    <xf numFmtId="0" fontId="0" fillId="0" borderId="0" xfId="0" applyAlignment="1">
      <alignment horizontal="left"/>
    </xf>
    <xf numFmtId="167" fontId="0" fillId="0" borderId="0" xfId="0" applyNumberFormat="1"/>
    <xf numFmtId="0" fontId="0" fillId="0" borderId="0" xfId="0" applyAlignment="1">
      <alignment horizontal="center"/>
    </xf>
  </cellXfs>
  <cellStyles count="2">
    <cellStyle name="Comma" xfId="1" builtinId="3"/>
    <cellStyle name="Normal" xfId="0" builtinId="0"/>
  </cellStyles>
  <dxfs count="47">
    <dxf>
      <font>
        <color rgb="FF9C0006"/>
      </font>
      <fill>
        <patternFill>
          <bgColor rgb="FFFFC7CE"/>
        </patternFill>
      </fill>
    </dxf>
    <dxf>
      <fill>
        <patternFill>
          <bgColor rgb="FFFFC7CE"/>
        </patternFill>
      </fill>
    </dxf>
    <dxf>
      <numFmt numFmtId="2" formatCode="0.00"/>
    </dxf>
    <dxf>
      <numFmt numFmtId="2" formatCode="0.00"/>
    </dxf>
    <dxf>
      <numFmt numFmtId="2" formatCode="0.00"/>
    </dxf>
    <dxf>
      <numFmt numFmtId="2" formatCode="0.00"/>
    </dxf>
    <dxf>
      <numFmt numFmtId="2" formatCode="0.00"/>
    </dxf>
    <dxf>
      <numFmt numFmtId="165" formatCode="0.0"/>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4" formatCode="&quot;₹&quot;\ #,##0.00"/>
    </dxf>
    <dxf>
      <numFmt numFmtId="164" formatCode="&quot;₹&quot;\ #,##0.00"/>
    </dxf>
    <dxf>
      <numFmt numFmtId="164" formatCode="&quot;₹&quot;\ #,##0.00"/>
    </dxf>
    <dxf>
      <numFmt numFmtId="164" formatCode="&quot;₹&quot;\ #,##0.00"/>
    </dxf>
    <dxf>
      <numFmt numFmtId="164" formatCode="&quot;₹&quot;\ #,##0.00"/>
    </dxf>
    <dxf>
      <numFmt numFmtId="0" formatCode="General"/>
    </dxf>
    <dxf>
      <numFmt numFmtId="0" formatCode="General"/>
    </dxf>
    <dxf>
      <numFmt numFmtId="2" formatCode="0.00"/>
    </dxf>
    <dxf>
      <numFmt numFmtId="0" formatCode="General"/>
    </dxf>
    <dxf>
      <numFmt numFmtId="164" formatCode="&quot;₹&quot;\ #,##0.00"/>
    </dxf>
    <dxf>
      <numFmt numFmtId="1" formatCode="0"/>
    </dxf>
    <dxf>
      <numFmt numFmtId="1" formatCode="0"/>
    </dxf>
    <dxf>
      <numFmt numFmtId="1" formatCode="0"/>
    </dxf>
    <dxf>
      <numFmt numFmtId="0" formatCode="General"/>
    </dxf>
    <dxf>
      <numFmt numFmtId="0" formatCode="General"/>
    </dxf>
    <dxf>
      <numFmt numFmtId="164" formatCode="&quot;₹&quot;\ #,##0.00"/>
    </dxf>
    <dxf>
      <numFmt numFmtId="0" formatCode="General"/>
    </dxf>
    <dxf>
      <numFmt numFmtId="1" formatCode="0"/>
    </dxf>
    <dxf>
      <numFmt numFmtId="1" formatCode="0"/>
    </dxf>
    <dxf>
      <numFmt numFmtId="0" formatCode="General"/>
    </dxf>
    <dxf>
      <numFmt numFmtId="166" formatCode="&quot;₹&quot;\ #,##0"/>
    </dxf>
    <dxf>
      <numFmt numFmtId="1" formatCode="0"/>
    </dxf>
    <dxf>
      <numFmt numFmtId="1" formatCode="0"/>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9680F"/>
      <color rgb="FFDA2E67"/>
      <color rgb="FF264EE2"/>
      <color rgb="FF45C3B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[SupplyChainAnalysis.xlsx]PT_Product_Revenue!PT_Product_Revenue</c:name>
    <c:fmtId val="0"/>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800" b="1">
                <a:solidFill>
                  <a:srgbClr val="C00000"/>
                </a:solidFill>
              </a:rPr>
              <a:t>Total Revenue </a:t>
            </a:r>
          </a:p>
          <a:p>
            <a:pPr algn="l">
              <a:defRPr/>
            </a:pPr>
            <a:endParaRPr lang="en-US"/>
          </a:p>
        </c:rich>
      </c:tx>
      <c:layout>
        <c:manualLayout>
          <c:xMode val="edge"/>
          <c:yMode val="edge"/>
          <c:x val="0.47658642565076853"/>
          <c:y val="0.10024080727773106"/>
        </c:manualLayout>
      </c:layout>
      <c:overlay val="0"/>
      <c:spPr>
        <a:solidFill>
          <a:schemeClr val="accent1">
            <a:lumMod val="20000"/>
            <a:lumOff val="80000"/>
          </a:schemeClr>
        </a:solid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PT_Product_Revenue!$B$3</c:f>
              <c:strCache>
                <c:ptCount val="1"/>
                <c:pt idx="0">
                  <c:v>Total</c:v>
                </c:pt>
              </c:strCache>
            </c:strRef>
          </c:tx>
          <c:spPr>
            <a:solidFill>
              <a:srgbClr val="92D050"/>
            </a:solidFill>
            <a:ln>
              <a:solidFill>
                <a:schemeClr val="accent1"/>
              </a:solidFill>
            </a:ln>
            <a:effectLst/>
          </c:spPr>
          <c:invertIfNegative val="0"/>
          <c:cat>
            <c:strRef>
              <c:f>PT_Product_Revenue!$A$4:$A$7</c:f>
              <c:strCache>
                <c:ptCount val="3"/>
                <c:pt idx="0">
                  <c:v>cosmetics</c:v>
                </c:pt>
                <c:pt idx="1">
                  <c:v>haircare</c:v>
                </c:pt>
                <c:pt idx="2">
                  <c:v>skincare</c:v>
                </c:pt>
              </c:strCache>
            </c:strRef>
          </c:cat>
          <c:val>
            <c:numRef>
              <c:f>PT_Product_Revenue!$B$4:$B$7</c:f>
              <c:numCache>
                <c:formatCode>"₹"\ #,##0</c:formatCode>
                <c:ptCount val="3"/>
                <c:pt idx="0">
                  <c:v>161521.26599948312</c:v>
                </c:pt>
                <c:pt idx="1">
                  <c:v>174455.39060546231</c:v>
                </c:pt>
                <c:pt idx="2">
                  <c:v>241628.16213306325</c:v>
                </c:pt>
              </c:numCache>
            </c:numRef>
          </c:val>
          <c:extLst>
            <c:ext xmlns:c16="http://schemas.microsoft.com/office/drawing/2014/chart" uri="{C3380CC4-5D6E-409C-BE32-E72D297353CC}">
              <c16:uniqueId val="{00000000-A357-4878-A480-8C5FF502B401}"/>
            </c:ext>
          </c:extLst>
        </c:ser>
        <c:dLbls>
          <c:showLegendKey val="0"/>
          <c:showVal val="0"/>
          <c:showCatName val="0"/>
          <c:showSerName val="0"/>
          <c:showPercent val="0"/>
          <c:showBubbleSize val="0"/>
        </c:dLbls>
        <c:gapWidth val="182"/>
        <c:axId val="379104784"/>
        <c:axId val="1980633136"/>
      </c:barChart>
      <c:catAx>
        <c:axId val="379104784"/>
        <c:scaling>
          <c:orientation val="minMax"/>
        </c:scaling>
        <c:delete val="0"/>
        <c:axPos val="l"/>
        <c:numFmt formatCode="General" sourceLinked="1"/>
        <c:majorTickMark val="none"/>
        <c:minorTickMark val="none"/>
        <c:tickLblPos val="nextTo"/>
        <c:spPr>
          <a:solidFill>
            <a:schemeClr val="accent2">
              <a:lumMod val="40000"/>
              <a:lumOff val="6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633136"/>
        <c:crosses val="autoZero"/>
        <c:auto val="1"/>
        <c:lblAlgn val="ctr"/>
        <c:lblOffset val="100"/>
        <c:noMultiLvlLbl val="0"/>
      </c:catAx>
      <c:valAx>
        <c:axId val="1980633136"/>
        <c:scaling>
          <c:orientation val="minMax"/>
        </c:scaling>
        <c:delete val="0"/>
        <c:axPos val="b"/>
        <c:majorGridlines>
          <c:spPr>
            <a:ln w="9525" cap="flat" cmpd="sng" algn="ctr">
              <a:noFill/>
              <a:round/>
            </a:ln>
            <a:effectLst/>
          </c:spPr>
        </c:majorGridlines>
        <c:numFmt formatCode="&quot;₹&quot;\ #,##0" sourceLinked="1"/>
        <c:majorTickMark val="none"/>
        <c:minorTickMark val="none"/>
        <c:tickLblPos val="nextTo"/>
        <c:spPr>
          <a:solidFill>
            <a:schemeClr val="accent2">
              <a:lumMod val="40000"/>
              <a:lumOff val="60000"/>
            </a:schemeClr>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104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[SupplyChainAnalysis.xlsx]PT_Product_Sales!PivotTable3</c:name>
    <c:fmtId val="0"/>
  </c:pivotSource>
  <c:chart>
    <c:title>
      <c:tx>
        <c:rich>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r>
              <a:rPr lang="en-US" sz="1800" b="1">
                <a:solidFill>
                  <a:srgbClr val="C00000"/>
                </a:solidFill>
              </a:rPr>
              <a:t>Total units sold </a:t>
            </a:r>
          </a:p>
          <a:p>
            <a:pPr algn="r">
              <a:defRPr/>
            </a:pPr>
            <a:endParaRPr lang="en-US"/>
          </a:p>
        </c:rich>
      </c:tx>
      <c:overlay val="0"/>
      <c:spPr>
        <a:noFill/>
        <a:ln>
          <a:noFill/>
        </a:ln>
        <a:effectLst/>
      </c:spPr>
      <c:txPr>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PT_Product_Sales!$B$3</c:f>
              <c:strCache>
                <c:ptCount val="1"/>
                <c:pt idx="0">
                  <c:v>Total</c:v>
                </c:pt>
              </c:strCache>
            </c:strRef>
          </c:tx>
          <c:spPr>
            <a:solidFill>
              <a:schemeClr val="accent4">
                <a:lumMod val="40000"/>
                <a:lumOff val="60000"/>
              </a:schemeClr>
            </a:solidFill>
            <a:ln>
              <a:noFill/>
            </a:ln>
            <a:effectLst/>
          </c:spPr>
          <c:invertIfNegative val="0"/>
          <c:cat>
            <c:strRef>
              <c:f>PT_Product_Sales!$A$4:$A$7</c:f>
              <c:strCache>
                <c:ptCount val="3"/>
                <c:pt idx="0">
                  <c:v>cosmetics</c:v>
                </c:pt>
                <c:pt idx="1">
                  <c:v>haircare</c:v>
                </c:pt>
                <c:pt idx="2">
                  <c:v>skincare</c:v>
                </c:pt>
              </c:strCache>
            </c:strRef>
          </c:cat>
          <c:val>
            <c:numRef>
              <c:f>PT_Product_Sales!$B$4:$B$7</c:f>
              <c:numCache>
                <c:formatCode>_ * #,##0_ ;_ * \-#,##0_ ;_ * "-"??_ ;_ @_ </c:formatCode>
                <c:ptCount val="3"/>
                <c:pt idx="0">
                  <c:v>11757</c:v>
                </c:pt>
                <c:pt idx="1">
                  <c:v>13611</c:v>
                </c:pt>
                <c:pt idx="2">
                  <c:v>20731</c:v>
                </c:pt>
              </c:numCache>
            </c:numRef>
          </c:val>
          <c:extLst>
            <c:ext xmlns:c16="http://schemas.microsoft.com/office/drawing/2014/chart" uri="{C3380CC4-5D6E-409C-BE32-E72D297353CC}">
              <c16:uniqueId val="{00000000-21ED-4A60-AA88-AF1456BC7685}"/>
            </c:ext>
          </c:extLst>
        </c:ser>
        <c:dLbls>
          <c:showLegendKey val="0"/>
          <c:showVal val="0"/>
          <c:showCatName val="0"/>
          <c:showSerName val="0"/>
          <c:showPercent val="0"/>
          <c:showBubbleSize val="0"/>
        </c:dLbls>
        <c:gapWidth val="219"/>
        <c:overlap val="-27"/>
        <c:axId val="1554804640"/>
        <c:axId val="1643047760"/>
      </c:barChart>
      <c:catAx>
        <c:axId val="1554804640"/>
        <c:scaling>
          <c:orientation val="minMax"/>
        </c:scaling>
        <c:delete val="0"/>
        <c:axPos val="b"/>
        <c:numFmt formatCode="General" sourceLinked="1"/>
        <c:majorTickMark val="none"/>
        <c:minorTickMark val="none"/>
        <c:tickLblPos val="nextTo"/>
        <c:spPr>
          <a:solidFill>
            <a:schemeClr val="accent5">
              <a:lumMod val="40000"/>
              <a:lumOff val="60000"/>
            </a:schemeClr>
          </a:solidFill>
          <a:ln w="9525" cap="flat" cmpd="sng" algn="ctr">
            <a:solidFill>
              <a:schemeClr val="accent5">
                <a:lumMod val="40000"/>
                <a:lumOff val="6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047760"/>
        <c:crosses val="autoZero"/>
        <c:auto val="1"/>
        <c:lblAlgn val="ctr"/>
        <c:lblOffset val="100"/>
        <c:noMultiLvlLbl val="0"/>
      </c:catAx>
      <c:valAx>
        <c:axId val="1643047760"/>
        <c:scaling>
          <c:orientation val="minMax"/>
        </c:scaling>
        <c:delete val="0"/>
        <c:axPos val="l"/>
        <c:majorGridlines>
          <c:spPr>
            <a:ln w="9525" cap="flat" cmpd="sng" algn="ctr">
              <a:solidFill>
                <a:schemeClr val="tx2">
                  <a:lumMod val="40000"/>
                  <a:lumOff val="60000"/>
                  <a:alpha val="33000"/>
                </a:schemeClr>
              </a:solidFill>
              <a:round/>
            </a:ln>
            <a:effectLst/>
          </c:spPr>
        </c:majorGridlines>
        <c:numFmt formatCode="_ * #,##0_ ;_ * \-#,##0_ ;_ * &quot;-&quot;??_ ;_ @_ " sourceLinked="1"/>
        <c:majorTickMark val="none"/>
        <c:minorTickMark val="none"/>
        <c:tickLblPos val="nextTo"/>
        <c:spPr>
          <a:solidFill>
            <a:schemeClr val="accent5">
              <a:lumMod val="60000"/>
              <a:lumOff val="40000"/>
            </a:schemeClr>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80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[SupplyChainAnalysis.xlsx]PT_Supplier_Revenue!PivotTable4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C00000"/>
                </a:solidFill>
              </a:rPr>
              <a:t>Total revenue by suppliers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PT_Supplier_Revenue!$B$3</c:f>
              <c:strCache>
                <c:ptCount val="1"/>
                <c:pt idx="0">
                  <c:v>Total</c:v>
                </c:pt>
              </c:strCache>
            </c:strRef>
          </c:tx>
          <c:spPr>
            <a:solidFill>
              <a:srgbClr val="7030A0"/>
            </a:solidFill>
            <a:ln>
              <a:noFill/>
            </a:ln>
            <a:effectLst/>
          </c:spPr>
          <c:invertIfNegative val="0"/>
          <c:cat>
            <c:strRef>
              <c:f>PT_Supplier_Revenue!$A$4:$A$9</c:f>
              <c:strCache>
                <c:ptCount val="5"/>
                <c:pt idx="0">
                  <c:v>Supplier 1</c:v>
                </c:pt>
                <c:pt idx="1">
                  <c:v>Supplier 2</c:v>
                </c:pt>
                <c:pt idx="2">
                  <c:v>Supplier 5</c:v>
                </c:pt>
                <c:pt idx="3">
                  <c:v>Supplier 3</c:v>
                </c:pt>
                <c:pt idx="4">
                  <c:v>Supplier 4</c:v>
                </c:pt>
              </c:strCache>
            </c:strRef>
          </c:cat>
          <c:val>
            <c:numRef>
              <c:f>PT_Supplier_Revenue!$B$4:$B$9</c:f>
              <c:numCache>
                <c:formatCode>"₹"\ #,##0</c:formatCode>
                <c:ptCount val="5"/>
                <c:pt idx="0">
                  <c:v>157528.99503945649</c:v>
                </c:pt>
                <c:pt idx="1">
                  <c:v>125467.41860530032</c:v>
                </c:pt>
                <c:pt idx="2">
                  <c:v>110343.46365628691</c:v>
                </c:pt>
                <c:pt idx="3">
                  <c:v>97795.979638162244</c:v>
                </c:pt>
                <c:pt idx="4">
                  <c:v>86468.961798802775</c:v>
                </c:pt>
              </c:numCache>
            </c:numRef>
          </c:val>
          <c:extLst>
            <c:ext xmlns:c16="http://schemas.microsoft.com/office/drawing/2014/chart" uri="{C3380CC4-5D6E-409C-BE32-E72D297353CC}">
              <c16:uniqueId val="{00000000-EC62-465C-8164-BA90830FDF44}"/>
            </c:ext>
          </c:extLst>
        </c:ser>
        <c:dLbls>
          <c:showLegendKey val="0"/>
          <c:showVal val="0"/>
          <c:showCatName val="0"/>
          <c:showSerName val="0"/>
          <c:showPercent val="0"/>
          <c:showBubbleSize val="0"/>
        </c:dLbls>
        <c:gapWidth val="150"/>
        <c:overlap val="100"/>
        <c:axId val="1666867472"/>
        <c:axId val="1643072240"/>
      </c:barChart>
      <c:catAx>
        <c:axId val="1666867472"/>
        <c:scaling>
          <c:orientation val="minMax"/>
        </c:scaling>
        <c:delete val="0"/>
        <c:axPos val="l"/>
        <c:numFmt formatCode="General" sourceLinked="1"/>
        <c:majorTickMark val="none"/>
        <c:minorTickMark val="none"/>
        <c:tickLblPos val="nextTo"/>
        <c:spPr>
          <a:solidFill>
            <a:schemeClr val="accent6">
              <a:lumMod val="40000"/>
              <a:lumOff val="6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072240"/>
        <c:crosses val="autoZero"/>
        <c:auto val="1"/>
        <c:lblAlgn val="ctr"/>
        <c:lblOffset val="100"/>
        <c:noMultiLvlLbl val="0"/>
      </c:catAx>
      <c:valAx>
        <c:axId val="1643072240"/>
        <c:scaling>
          <c:orientation val="minMax"/>
        </c:scaling>
        <c:delete val="0"/>
        <c:axPos val="b"/>
        <c:majorGridlines>
          <c:spPr>
            <a:ln w="9525" cap="flat" cmpd="sng" algn="ctr">
              <a:solidFill>
                <a:schemeClr val="bg2">
                  <a:lumMod val="75000"/>
                  <a:alpha val="53000"/>
                </a:schemeClr>
              </a:solidFill>
              <a:round/>
            </a:ln>
            <a:effectLst/>
          </c:spPr>
        </c:majorGridlines>
        <c:numFmt formatCode="&quot;₹&quot;\ #,##0" sourceLinked="1"/>
        <c:majorTickMark val="none"/>
        <c:minorTickMark val="none"/>
        <c:tickLblPos val="nextTo"/>
        <c:spPr>
          <a:solidFill>
            <a:schemeClr val="accent6">
              <a:lumMod val="40000"/>
              <a:lumOff val="60000"/>
            </a:schemeClr>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867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[SupplyChainAnalysis.xlsx]PT_Supplier_LeadTime!PivotTable5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rgbClr val="C00000"/>
                </a:solidFill>
              </a:rPr>
              <a:t>Average</a:t>
            </a:r>
            <a:r>
              <a:rPr lang="en-IN" sz="1800" b="1" baseline="0">
                <a:solidFill>
                  <a:srgbClr val="C00000"/>
                </a:solidFill>
              </a:rPr>
              <a:t> leaad time</a:t>
            </a:r>
            <a:endParaRPr lang="en-IN" sz="1800" b="1">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264EE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PT_Supplier_LeadTime!$B$3</c:f>
              <c:strCache>
                <c:ptCount val="1"/>
                <c:pt idx="0">
                  <c:v>Total</c:v>
                </c:pt>
              </c:strCache>
            </c:strRef>
          </c:tx>
          <c:spPr>
            <a:solidFill>
              <a:srgbClr val="264EE2"/>
            </a:solidFill>
            <a:ln>
              <a:noFill/>
            </a:ln>
            <a:effectLst/>
            <a:sp3d/>
          </c:spPr>
          <c:invertIfNegative val="0"/>
          <c:cat>
            <c:strRef>
              <c:f>PT_Supplier_LeadTime!$A$4:$A$9</c:f>
              <c:strCache>
                <c:ptCount val="5"/>
                <c:pt idx="0">
                  <c:v>Supplier 3</c:v>
                </c:pt>
                <c:pt idx="1">
                  <c:v>Supplier 2</c:v>
                </c:pt>
                <c:pt idx="2">
                  <c:v>Supplier 5</c:v>
                </c:pt>
                <c:pt idx="3">
                  <c:v>Supplier 4</c:v>
                </c:pt>
                <c:pt idx="4">
                  <c:v>Supplier 1</c:v>
                </c:pt>
              </c:strCache>
            </c:strRef>
          </c:cat>
          <c:val>
            <c:numRef>
              <c:f>PT_Supplier_LeadTime!$B$4:$B$9</c:f>
              <c:numCache>
                <c:formatCode>0</c:formatCode>
                <c:ptCount val="5"/>
                <c:pt idx="0">
                  <c:v>20.133333333333333</c:v>
                </c:pt>
                <c:pt idx="1">
                  <c:v>18.545454545454547</c:v>
                </c:pt>
                <c:pt idx="2">
                  <c:v>18.055555555555557</c:v>
                </c:pt>
                <c:pt idx="3">
                  <c:v>15.222222222222221</c:v>
                </c:pt>
                <c:pt idx="4">
                  <c:v>14.777777777777779</c:v>
                </c:pt>
              </c:numCache>
            </c:numRef>
          </c:val>
          <c:extLst>
            <c:ext xmlns:c16="http://schemas.microsoft.com/office/drawing/2014/chart" uri="{C3380CC4-5D6E-409C-BE32-E72D297353CC}">
              <c16:uniqueId val="{00000000-5B28-4664-B13F-A68981A3E389}"/>
            </c:ext>
          </c:extLst>
        </c:ser>
        <c:dLbls>
          <c:showLegendKey val="0"/>
          <c:showVal val="0"/>
          <c:showCatName val="0"/>
          <c:showSerName val="0"/>
          <c:showPercent val="0"/>
          <c:showBubbleSize val="0"/>
        </c:dLbls>
        <c:gapWidth val="150"/>
        <c:shape val="box"/>
        <c:axId val="1666758432"/>
        <c:axId val="1643033840"/>
        <c:axId val="0"/>
      </c:bar3DChart>
      <c:catAx>
        <c:axId val="1666758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033840"/>
        <c:crosses val="autoZero"/>
        <c:auto val="1"/>
        <c:lblAlgn val="ctr"/>
        <c:lblOffset val="100"/>
        <c:noMultiLvlLbl val="0"/>
      </c:catAx>
      <c:valAx>
        <c:axId val="16430338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758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[SupplyChainAnalysis.xlsx]PT_Transportation!PivotTable6</c:name>
    <c:fmtId val="0"/>
  </c:pivotSource>
  <c:chart>
    <c:autoTitleDeleted val="0"/>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PT_Transportation!$B$3</c:f>
              <c:strCache>
                <c:ptCount val="1"/>
                <c:pt idx="0">
                  <c:v>Sum of Shipping_costs</c:v>
                </c:pt>
              </c:strCache>
            </c:strRef>
          </c:tx>
          <c:spPr>
            <a:solidFill>
              <a:schemeClr val="accent1">
                <a:lumMod val="75000"/>
              </a:schemeClr>
            </a:solidFill>
            <a:ln>
              <a:noFill/>
            </a:ln>
            <a:effectLst/>
          </c:spPr>
          <c:invertIfNegative val="0"/>
          <c:cat>
            <c:strRef>
              <c:f>PT_Transportation!$A$4:$A$8</c:f>
              <c:strCache>
                <c:ptCount val="4"/>
                <c:pt idx="0">
                  <c:v>Air</c:v>
                </c:pt>
                <c:pt idx="1">
                  <c:v>Rail</c:v>
                </c:pt>
                <c:pt idx="2">
                  <c:v>Road</c:v>
                </c:pt>
                <c:pt idx="3">
                  <c:v>Sea</c:v>
                </c:pt>
              </c:strCache>
            </c:strRef>
          </c:cat>
          <c:val>
            <c:numRef>
              <c:f>PT_Transportation!$B$4:$B$8</c:f>
              <c:numCache>
                <c:formatCode>"₹"\ #,##0.00</c:formatCode>
                <c:ptCount val="4"/>
                <c:pt idx="0">
                  <c:v>156.46382382094407</c:v>
                </c:pt>
                <c:pt idx="1">
                  <c:v>153.13474221088009</c:v>
                </c:pt>
                <c:pt idx="2">
                  <c:v>160.72134631132815</c:v>
                </c:pt>
                <c:pt idx="3">
                  <c:v>84.494994858806365</c:v>
                </c:pt>
              </c:numCache>
            </c:numRef>
          </c:val>
          <c:extLst>
            <c:ext xmlns:c16="http://schemas.microsoft.com/office/drawing/2014/chart" uri="{C3380CC4-5D6E-409C-BE32-E72D297353CC}">
              <c16:uniqueId val="{00000000-E873-4A9C-997A-18F148C376CB}"/>
            </c:ext>
          </c:extLst>
        </c:ser>
        <c:dLbls>
          <c:showLegendKey val="0"/>
          <c:showVal val="0"/>
          <c:showCatName val="0"/>
          <c:showSerName val="0"/>
          <c:showPercent val="0"/>
          <c:showBubbleSize val="0"/>
        </c:dLbls>
        <c:gapWidth val="219"/>
        <c:overlap val="100"/>
        <c:axId val="1666858192"/>
        <c:axId val="1643034320"/>
      </c:barChart>
      <c:lineChart>
        <c:grouping val="standard"/>
        <c:varyColors val="0"/>
        <c:ser>
          <c:idx val="1"/>
          <c:order val="1"/>
          <c:tx>
            <c:strRef>
              <c:f>PT_Transportation!$C$3</c:f>
              <c:strCache>
                <c:ptCount val="1"/>
                <c:pt idx="0">
                  <c:v>Average of Shipping_times</c:v>
                </c:pt>
              </c:strCache>
            </c:strRef>
          </c:tx>
          <c:spPr>
            <a:ln w="28575" cap="rnd">
              <a:solidFill>
                <a:srgbClr val="FF0000"/>
              </a:solidFill>
              <a:round/>
            </a:ln>
            <a:effectLst/>
          </c:spPr>
          <c:marker>
            <c:symbol val="none"/>
          </c:marker>
          <c:cat>
            <c:strRef>
              <c:f>PT_Transportation!$A$4:$A$8</c:f>
              <c:strCache>
                <c:ptCount val="4"/>
                <c:pt idx="0">
                  <c:v>Air</c:v>
                </c:pt>
                <c:pt idx="1">
                  <c:v>Rail</c:v>
                </c:pt>
                <c:pt idx="2">
                  <c:v>Road</c:v>
                </c:pt>
                <c:pt idx="3">
                  <c:v>Sea</c:v>
                </c:pt>
              </c:strCache>
            </c:strRef>
          </c:cat>
          <c:val>
            <c:numRef>
              <c:f>PT_Transportation!$C$4:$C$8</c:f>
              <c:numCache>
                <c:formatCode>0.00</c:formatCode>
                <c:ptCount val="4"/>
                <c:pt idx="0">
                  <c:v>5.115384615384615</c:v>
                </c:pt>
                <c:pt idx="1">
                  <c:v>6.5714285714285712</c:v>
                </c:pt>
                <c:pt idx="2">
                  <c:v>4.7241379310344831</c:v>
                </c:pt>
                <c:pt idx="3">
                  <c:v>7.117647058823529</c:v>
                </c:pt>
              </c:numCache>
            </c:numRef>
          </c:val>
          <c:smooth val="0"/>
          <c:extLst>
            <c:ext xmlns:c16="http://schemas.microsoft.com/office/drawing/2014/chart" uri="{C3380CC4-5D6E-409C-BE32-E72D297353CC}">
              <c16:uniqueId val="{00000001-E873-4A9C-997A-18F148C376CB}"/>
            </c:ext>
          </c:extLst>
        </c:ser>
        <c:dLbls>
          <c:showLegendKey val="0"/>
          <c:showVal val="0"/>
          <c:showCatName val="0"/>
          <c:showSerName val="0"/>
          <c:showPercent val="0"/>
          <c:showBubbleSize val="0"/>
        </c:dLbls>
        <c:marker val="1"/>
        <c:smooth val="0"/>
        <c:axId val="1666896240"/>
        <c:axId val="1643029520"/>
      </c:lineChart>
      <c:catAx>
        <c:axId val="1666858192"/>
        <c:scaling>
          <c:orientation val="minMax"/>
        </c:scaling>
        <c:delete val="0"/>
        <c:axPos val="b"/>
        <c:numFmt formatCode="General" sourceLinked="1"/>
        <c:majorTickMark val="none"/>
        <c:minorTickMark val="none"/>
        <c:tickLblPos val="nextTo"/>
        <c:spPr>
          <a:solidFill>
            <a:schemeClr val="bg2">
              <a:lumMod val="75000"/>
            </a:schemeClr>
          </a:solidFill>
          <a:ln w="9525" cap="flat" cmpd="sng" algn="ctr">
            <a:solidFill>
              <a:schemeClr val="bg2">
                <a:lumMod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034320"/>
        <c:crosses val="autoZero"/>
        <c:auto val="1"/>
        <c:lblAlgn val="ctr"/>
        <c:lblOffset val="100"/>
        <c:noMultiLvlLbl val="0"/>
      </c:catAx>
      <c:valAx>
        <c:axId val="16430343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solidFill>
            <a:schemeClr val="bg2">
              <a:lumMod val="75000"/>
            </a:schemeClr>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858192"/>
        <c:crosses val="autoZero"/>
        <c:crossBetween val="between"/>
      </c:valAx>
      <c:valAx>
        <c:axId val="1643029520"/>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896240"/>
        <c:crosses val="max"/>
        <c:crossBetween val="between"/>
      </c:valAx>
      <c:catAx>
        <c:axId val="1666896240"/>
        <c:scaling>
          <c:orientation val="minMax"/>
        </c:scaling>
        <c:delete val="1"/>
        <c:axPos val="b"/>
        <c:numFmt formatCode="General" sourceLinked="1"/>
        <c:majorTickMark val="out"/>
        <c:minorTickMark val="none"/>
        <c:tickLblPos val="nextTo"/>
        <c:crossAx val="164302952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[SupplyChainAnalysis.xlsx]PT_Inspection!PivotTable7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C00000"/>
                </a:solidFill>
              </a:rPr>
              <a:t>Total SKU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PT_Inspection!$B$3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A92-44EE-93CD-9CCF12C3612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A92-44EE-93CD-9CCF12C3612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A92-44EE-93CD-9CCF12C36126}"/>
              </c:ext>
            </c:extLst>
          </c:dPt>
          <c:cat>
            <c:strRef>
              <c:f>PT_Inspection!$A$4:$A$7</c:f>
              <c:strCache>
                <c:ptCount val="3"/>
                <c:pt idx="0">
                  <c:v>Pending</c:v>
                </c:pt>
                <c:pt idx="1">
                  <c:v>Fail</c:v>
                </c:pt>
                <c:pt idx="2">
                  <c:v>Pass</c:v>
                </c:pt>
              </c:strCache>
            </c:strRef>
          </c:cat>
          <c:val>
            <c:numRef>
              <c:f>PT_Inspection!$B$4:$B$7</c:f>
              <c:numCache>
                <c:formatCode>General</c:formatCode>
                <c:ptCount val="3"/>
                <c:pt idx="0">
                  <c:v>41</c:v>
                </c:pt>
                <c:pt idx="1">
                  <c:v>36</c:v>
                </c:pt>
                <c:pt idx="2">
                  <c:v>23</c:v>
                </c:pt>
              </c:numCache>
            </c:numRef>
          </c:val>
          <c:extLst>
            <c:ext xmlns:c16="http://schemas.microsoft.com/office/drawing/2014/chart" uri="{C3380CC4-5D6E-409C-BE32-E72D297353CC}">
              <c16:uniqueId val="{00000000-5ACD-4F95-8A6A-03028FA551A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[SupplyChainAnalysis.xlsx]Top-_10_Product!PivotTable9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C00000"/>
                </a:solidFill>
              </a:rPr>
              <a:t>Top</a:t>
            </a:r>
            <a:r>
              <a:rPr lang="en-US" sz="1600" b="1" baseline="0">
                <a:solidFill>
                  <a:srgbClr val="C00000"/>
                </a:solidFill>
              </a:rPr>
              <a:t> 10 Products</a:t>
            </a:r>
            <a:endParaRPr lang="en-US" sz="1600" b="1">
              <a:solidFill>
                <a:srgbClr val="C00000"/>
              </a:solidFill>
            </a:endParaRPr>
          </a:p>
        </c:rich>
      </c:tx>
      <c:layout>
        <c:manualLayout>
          <c:xMode val="edge"/>
          <c:yMode val="edge"/>
          <c:x val="0.43552077865266836"/>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968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'Top-_10_Product'!$B$4</c:f>
              <c:strCache>
                <c:ptCount val="1"/>
                <c:pt idx="0">
                  <c:v>Total</c:v>
                </c:pt>
              </c:strCache>
            </c:strRef>
          </c:tx>
          <c:spPr>
            <a:solidFill>
              <a:srgbClr val="F9680F"/>
            </a:solidFill>
            <a:ln>
              <a:noFill/>
            </a:ln>
            <a:effectLst/>
          </c:spPr>
          <c:invertIfNegative val="0"/>
          <c:cat>
            <c:strRef>
              <c:f>'Top-_10_Product'!$A$5:$A$15</c:f>
              <c:strCache>
                <c:ptCount val="10"/>
                <c:pt idx="0">
                  <c:v>SKU51</c:v>
                </c:pt>
                <c:pt idx="1">
                  <c:v>SKU38</c:v>
                </c:pt>
                <c:pt idx="2">
                  <c:v>SKU31</c:v>
                </c:pt>
                <c:pt idx="3">
                  <c:v>SKU90</c:v>
                </c:pt>
                <c:pt idx="4">
                  <c:v>SKU2</c:v>
                </c:pt>
                <c:pt idx="5">
                  <c:v>SKU32</c:v>
                </c:pt>
                <c:pt idx="6">
                  <c:v>SKU67</c:v>
                </c:pt>
                <c:pt idx="7">
                  <c:v>SKU88</c:v>
                </c:pt>
                <c:pt idx="8">
                  <c:v>SKU52</c:v>
                </c:pt>
                <c:pt idx="9">
                  <c:v>SKU18</c:v>
                </c:pt>
              </c:strCache>
            </c:strRef>
          </c:cat>
          <c:val>
            <c:numRef>
              <c:f>'Top-_10_Product'!$B$5:$B$15</c:f>
              <c:numCache>
                <c:formatCode>"₹"\ #,##0</c:formatCode>
                <c:ptCount val="10"/>
                <c:pt idx="0">
                  <c:v>9866.465457979697</c:v>
                </c:pt>
                <c:pt idx="1">
                  <c:v>9692.3180402184316</c:v>
                </c:pt>
                <c:pt idx="2">
                  <c:v>9655.1351027193978</c:v>
                </c:pt>
                <c:pt idx="3">
                  <c:v>9592.6335702803117</c:v>
                </c:pt>
                <c:pt idx="4">
                  <c:v>9577.7496258687297</c:v>
                </c:pt>
                <c:pt idx="5">
                  <c:v>9571.5504873278187</c:v>
                </c:pt>
                <c:pt idx="6">
                  <c:v>9473.7980325083372</c:v>
                </c:pt>
                <c:pt idx="7">
                  <c:v>9444.7420330629793</c:v>
                </c:pt>
                <c:pt idx="8">
                  <c:v>9435.7626089121295</c:v>
                </c:pt>
                <c:pt idx="9">
                  <c:v>9364.6735050761727</c:v>
                </c:pt>
              </c:numCache>
            </c:numRef>
          </c:val>
          <c:extLst>
            <c:ext xmlns:c16="http://schemas.microsoft.com/office/drawing/2014/chart" uri="{C3380CC4-5D6E-409C-BE32-E72D297353CC}">
              <c16:uniqueId val="{00000000-79A5-485D-B82B-F77EE7DF6490}"/>
            </c:ext>
          </c:extLst>
        </c:ser>
        <c:dLbls>
          <c:showLegendKey val="0"/>
          <c:showVal val="0"/>
          <c:showCatName val="0"/>
          <c:showSerName val="0"/>
          <c:showPercent val="0"/>
          <c:showBubbleSize val="0"/>
        </c:dLbls>
        <c:gapWidth val="182"/>
        <c:axId val="1666892528"/>
        <c:axId val="1643016560"/>
      </c:barChart>
      <c:catAx>
        <c:axId val="1666892528"/>
        <c:scaling>
          <c:orientation val="minMax"/>
        </c:scaling>
        <c:delete val="0"/>
        <c:axPos val="l"/>
        <c:numFmt formatCode="General" sourceLinked="1"/>
        <c:majorTickMark val="none"/>
        <c:minorTickMark val="none"/>
        <c:tickLblPos val="nextTo"/>
        <c:spPr>
          <a:solidFill>
            <a:schemeClr val="accent5">
              <a:lumMod val="40000"/>
              <a:lumOff val="6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016560"/>
        <c:crosses val="autoZero"/>
        <c:auto val="1"/>
        <c:lblAlgn val="ctr"/>
        <c:lblOffset val="100"/>
        <c:noMultiLvlLbl val="0"/>
      </c:catAx>
      <c:valAx>
        <c:axId val="1643016560"/>
        <c:scaling>
          <c:orientation val="minMax"/>
        </c:scaling>
        <c:delete val="0"/>
        <c:axPos val="b"/>
        <c:majorGridlines>
          <c:spPr>
            <a:ln w="9525" cap="flat" cmpd="sng" algn="ctr">
              <a:solidFill>
                <a:schemeClr val="accent6">
                  <a:lumMod val="20000"/>
                  <a:lumOff val="80000"/>
                </a:schemeClr>
              </a:solidFill>
              <a:round/>
            </a:ln>
            <a:effectLst/>
          </c:spPr>
        </c:majorGridlines>
        <c:numFmt formatCode="&quot;₹&quot;\ #,##0" sourceLinked="1"/>
        <c:majorTickMark val="none"/>
        <c:minorTickMark val="none"/>
        <c:tickLblPos val="nextTo"/>
        <c:spPr>
          <a:solidFill>
            <a:schemeClr val="accent5">
              <a:lumMod val="40000"/>
              <a:lumOff val="60000"/>
            </a:schemeClr>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892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[SupplyChainAnalysis.xlsx]PT_Defect_Rate_Supplier!PivotTable2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C00000"/>
                </a:solidFill>
              </a:rPr>
              <a:t>Average Defect</a:t>
            </a:r>
            <a:r>
              <a:rPr lang="en-US" sz="1600" b="1" baseline="0">
                <a:solidFill>
                  <a:srgbClr val="C00000"/>
                </a:solidFill>
              </a:rPr>
              <a:t> Rates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DA2E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PT_Defect_Rate_Supplier!$B$3</c:f>
              <c:strCache>
                <c:ptCount val="1"/>
                <c:pt idx="0">
                  <c:v>Total</c:v>
                </c:pt>
              </c:strCache>
            </c:strRef>
          </c:tx>
          <c:spPr>
            <a:solidFill>
              <a:srgbClr val="DA2E67"/>
            </a:solidFill>
            <a:ln>
              <a:noFill/>
            </a:ln>
            <a:effectLst/>
          </c:spPr>
          <c:invertIfNegative val="0"/>
          <c:cat>
            <c:strRef>
              <c:f>PT_Defect_Rate_Supplier!$A$4:$A$9</c:f>
              <c:strCache>
                <c:ptCount val="5"/>
                <c:pt idx="0">
                  <c:v>Supplier 1</c:v>
                </c:pt>
                <c:pt idx="1">
                  <c:v>Supplier 2</c:v>
                </c:pt>
                <c:pt idx="2">
                  <c:v>Supplier 3</c:v>
                </c:pt>
                <c:pt idx="3">
                  <c:v>Supplier 4</c:v>
                </c:pt>
                <c:pt idx="4">
                  <c:v>Supplier 5</c:v>
                </c:pt>
              </c:strCache>
            </c:strRef>
          </c:cat>
          <c:val>
            <c:numRef>
              <c:f>PT_Defect_Rate_Supplier!$B$4:$B$9</c:f>
              <c:numCache>
                <c:formatCode>0.00</c:formatCode>
                <c:ptCount val="5"/>
                <c:pt idx="0">
                  <c:v>1.8036297116882525</c:v>
                </c:pt>
                <c:pt idx="1">
                  <c:v>2.3627501450718813</c:v>
                </c:pt>
                <c:pt idx="2">
                  <c:v>2.4657860307644701</c:v>
                </c:pt>
                <c:pt idx="3">
                  <c:v>2.3373974005913398</c:v>
                </c:pt>
                <c:pt idx="4">
                  <c:v>2.6654083441492014</c:v>
                </c:pt>
              </c:numCache>
            </c:numRef>
          </c:val>
          <c:extLst>
            <c:ext xmlns:c16="http://schemas.microsoft.com/office/drawing/2014/chart" uri="{C3380CC4-5D6E-409C-BE32-E72D297353CC}">
              <c16:uniqueId val="{00000000-C01B-4411-B867-58EACFC85AF9}"/>
            </c:ext>
          </c:extLst>
        </c:ser>
        <c:dLbls>
          <c:showLegendKey val="0"/>
          <c:showVal val="0"/>
          <c:showCatName val="0"/>
          <c:showSerName val="0"/>
          <c:showPercent val="0"/>
          <c:showBubbleSize val="0"/>
        </c:dLbls>
        <c:gapWidth val="182"/>
        <c:axId val="1006039184"/>
        <c:axId val="1329111280"/>
      </c:barChart>
      <c:catAx>
        <c:axId val="1006039184"/>
        <c:scaling>
          <c:orientation val="minMax"/>
        </c:scaling>
        <c:delete val="0"/>
        <c:axPos val="l"/>
        <c:numFmt formatCode="General" sourceLinked="1"/>
        <c:majorTickMark val="none"/>
        <c:minorTickMark val="none"/>
        <c:tickLblPos val="nextTo"/>
        <c:spPr>
          <a:solidFill>
            <a:schemeClr val="tx2">
              <a:lumMod val="40000"/>
              <a:lumOff val="6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111280"/>
        <c:crosses val="autoZero"/>
        <c:auto val="1"/>
        <c:lblAlgn val="ctr"/>
        <c:lblOffset val="100"/>
        <c:noMultiLvlLbl val="0"/>
      </c:catAx>
      <c:valAx>
        <c:axId val="1329111280"/>
        <c:scaling>
          <c:orientation val="minMax"/>
        </c:scaling>
        <c:delete val="0"/>
        <c:axPos val="b"/>
        <c:majorGridlines>
          <c:spPr>
            <a:ln w="9525" cap="flat" cmpd="sng" algn="ctr">
              <a:solidFill>
                <a:schemeClr val="bg2">
                  <a:lumMod val="90000"/>
                </a:schemeClr>
              </a:solidFill>
              <a:round/>
            </a:ln>
            <a:effectLst/>
          </c:spPr>
        </c:majorGridlines>
        <c:numFmt formatCode="0.00" sourceLinked="1"/>
        <c:majorTickMark val="none"/>
        <c:minorTickMark val="none"/>
        <c:tickLblPos val="nextTo"/>
        <c:spPr>
          <a:solidFill>
            <a:schemeClr val="tx2">
              <a:lumMod val="40000"/>
              <a:lumOff val="60000"/>
            </a:schemeClr>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039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[SupplyChainAnalysis.xlsx]PT_Product_Revenue!PT_Product_Revenue</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rgbClr val="C00000"/>
                </a:solidFill>
              </a:rPr>
              <a:t>Total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PT_Product_Revenue!$B$3</c:f>
              <c:strCache>
                <c:ptCount val="1"/>
                <c:pt idx="0">
                  <c:v>Total</c:v>
                </c:pt>
              </c:strCache>
            </c:strRef>
          </c:tx>
          <c:spPr>
            <a:solidFill>
              <a:srgbClr val="92D050"/>
            </a:solidFill>
            <a:ln>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PT_Product_Revenue!$A$4:$A$7</c:f>
              <c:strCache>
                <c:ptCount val="3"/>
                <c:pt idx="0">
                  <c:v>cosmetics</c:v>
                </c:pt>
                <c:pt idx="1">
                  <c:v>haircare</c:v>
                </c:pt>
                <c:pt idx="2">
                  <c:v>skincare</c:v>
                </c:pt>
              </c:strCache>
            </c:strRef>
          </c:cat>
          <c:val>
            <c:numRef>
              <c:f>PT_Product_Revenue!$B$4:$B$7</c:f>
              <c:numCache>
                <c:formatCode>"₹"\ #,##0</c:formatCode>
                <c:ptCount val="3"/>
                <c:pt idx="0">
                  <c:v>161521.26599948312</c:v>
                </c:pt>
                <c:pt idx="1">
                  <c:v>174455.39060546231</c:v>
                </c:pt>
                <c:pt idx="2">
                  <c:v>241628.16213306325</c:v>
                </c:pt>
              </c:numCache>
            </c:numRef>
          </c:val>
          <c:extLst>
            <c:ext xmlns:c16="http://schemas.microsoft.com/office/drawing/2014/chart" uri="{C3380CC4-5D6E-409C-BE32-E72D297353CC}">
              <c16:uniqueId val="{00000000-B832-454B-ABC0-290CAB3FF728}"/>
            </c:ext>
          </c:extLst>
        </c:ser>
        <c:dLbls>
          <c:dLblPos val="outEnd"/>
          <c:showLegendKey val="0"/>
          <c:showVal val="1"/>
          <c:showCatName val="0"/>
          <c:showSerName val="0"/>
          <c:showPercent val="0"/>
          <c:showBubbleSize val="0"/>
        </c:dLbls>
        <c:gapWidth val="182"/>
        <c:axId val="379104784"/>
        <c:axId val="1980633136"/>
      </c:barChart>
      <c:catAx>
        <c:axId val="379104784"/>
        <c:scaling>
          <c:orientation val="minMax"/>
        </c:scaling>
        <c:delete val="0"/>
        <c:axPos val="l"/>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80633136"/>
        <c:crosses val="autoZero"/>
        <c:auto val="1"/>
        <c:lblAlgn val="ctr"/>
        <c:lblOffset val="100"/>
        <c:noMultiLvlLbl val="0"/>
      </c:catAx>
      <c:valAx>
        <c:axId val="1980633136"/>
        <c:scaling>
          <c:orientation val="minMax"/>
        </c:scaling>
        <c:delete val="0"/>
        <c:axPos val="b"/>
        <c:majorGridlines>
          <c:spPr>
            <a:ln w="9525" cap="flat" cmpd="sng" algn="ctr">
              <a:noFill/>
              <a:round/>
            </a:ln>
            <a:effectLst/>
          </c:spPr>
        </c:majorGridlines>
        <c:numFmt formatCode="&quot;₹&quot;\ #,##0" sourceLinked="1"/>
        <c:majorTickMark val="none"/>
        <c:minorTickMark val="none"/>
        <c:tickLblPos val="nextTo"/>
        <c:spPr>
          <a:solidFill>
            <a:schemeClr val="bg1">
              <a:lumMod val="95000"/>
            </a:schemeClr>
          </a:solid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79104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[SupplyChainAnalysis.xlsx]PT_Product_Sales!PivotTable3</c:name>
    <c:fmtId val="3"/>
  </c:pivotSource>
  <c:chart>
    <c:title>
      <c:tx>
        <c:rich>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r>
              <a:rPr lang="en-US" sz="1800" b="1">
                <a:solidFill>
                  <a:srgbClr val="C00000"/>
                </a:solidFill>
              </a:rPr>
              <a:t>Total units sold </a:t>
            </a:r>
          </a:p>
          <a:p>
            <a:pPr algn="r">
              <a:defRPr/>
            </a:pPr>
            <a:endParaRPr lang="en-US"/>
          </a:p>
        </c:rich>
      </c:tx>
      <c:layout>
        <c:manualLayout>
          <c:xMode val="edge"/>
          <c:yMode val="edge"/>
          <c:x val="0.36348318599164281"/>
          <c:y val="5.3636293144848114E-2"/>
        </c:manualLayout>
      </c:layout>
      <c:overlay val="0"/>
      <c:spPr>
        <a:noFill/>
        <a:ln>
          <a:noFill/>
        </a:ln>
        <a:effectLst/>
      </c:spPr>
      <c:txPr>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PT_Product_Sales!$B$3</c:f>
              <c:strCache>
                <c:ptCount val="1"/>
                <c:pt idx="0">
                  <c:v>Total</c:v>
                </c:pt>
              </c:strCache>
            </c:strRef>
          </c:tx>
          <c:spPr>
            <a:solidFill>
              <a:schemeClr val="accent4">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PT_Product_Sales!$A$4:$A$7</c:f>
              <c:strCache>
                <c:ptCount val="3"/>
                <c:pt idx="0">
                  <c:v>cosmetics</c:v>
                </c:pt>
                <c:pt idx="1">
                  <c:v>haircare</c:v>
                </c:pt>
                <c:pt idx="2">
                  <c:v>skincare</c:v>
                </c:pt>
              </c:strCache>
            </c:strRef>
          </c:cat>
          <c:val>
            <c:numRef>
              <c:f>PT_Product_Sales!$B$4:$B$7</c:f>
              <c:numCache>
                <c:formatCode>_ * #,##0_ ;_ * \-#,##0_ ;_ * "-"??_ ;_ @_ </c:formatCode>
                <c:ptCount val="3"/>
                <c:pt idx="0">
                  <c:v>11757</c:v>
                </c:pt>
                <c:pt idx="1">
                  <c:v>13611</c:v>
                </c:pt>
                <c:pt idx="2">
                  <c:v>20731</c:v>
                </c:pt>
              </c:numCache>
            </c:numRef>
          </c:val>
          <c:extLst>
            <c:ext xmlns:c16="http://schemas.microsoft.com/office/drawing/2014/chart" uri="{C3380CC4-5D6E-409C-BE32-E72D297353CC}">
              <c16:uniqueId val="{00000000-2E58-4DE7-9373-483776A5B0C1}"/>
            </c:ext>
          </c:extLst>
        </c:ser>
        <c:dLbls>
          <c:dLblPos val="outEnd"/>
          <c:showLegendKey val="0"/>
          <c:showVal val="1"/>
          <c:showCatName val="0"/>
          <c:showSerName val="0"/>
          <c:showPercent val="0"/>
          <c:showBubbleSize val="0"/>
        </c:dLbls>
        <c:gapWidth val="219"/>
        <c:overlap val="-27"/>
        <c:axId val="1554804640"/>
        <c:axId val="1643047760"/>
      </c:barChart>
      <c:catAx>
        <c:axId val="1554804640"/>
        <c:scaling>
          <c:orientation val="minMax"/>
        </c:scaling>
        <c:delete val="0"/>
        <c:axPos val="b"/>
        <c:numFmt formatCode="General" sourceLinked="1"/>
        <c:majorTickMark val="none"/>
        <c:minorTickMark val="none"/>
        <c:tickLblPos val="nextTo"/>
        <c:spPr>
          <a:solidFill>
            <a:schemeClr val="bg1"/>
          </a:solidFill>
          <a:ln w="9525" cap="flat" cmpd="sng" algn="ctr">
            <a:solidFill>
              <a:schemeClr val="accent5">
                <a:lumMod val="40000"/>
                <a:lumOff val="60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643047760"/>
        <c:crosses val="autoZero"/>
        <c:auto val="1"/>
        <c:lblAlgn val="ctr"/>
        <c:lblOffset val="100"/>
        <c:noMultiLvlLbl val="0"/>
      </c:catAx>
      <c:valAx>
        <c:axId val="1643047760"/>
        <c:scaling>
          <c:orientation val="minMax"/>
        </c:scaling>
        <c:delete val="0"/>
        <c:axPos val="l"/>
        <c:majorGridlines>
          <c:spPr>
            <a:ln w="9525" cap="flat" cmpd="sng" algn="ctr">
              <a:solidFill>
                <a:schemeClr val="tx2">
                  <a:lumMod val="40000"/>
                  <a:lumOff val="60000"/>
                  <a:alpha val="33000"/>
                </a:schemeClr>
              </a:solidFill>
              <a:round/>
            </a:ln>
            <a:effectLst/>
          </c:spPr>
        </c:majorGridlines>
        <c:numFmt formatCode="_ * #,##0_ ;_ * \-#,##0_ ;_ * &quot;-&quot;??_ ;_ @_ " sourceLinked="1"/>
        <c:majorTickMark val="none"/>
        <c:minorTickMark val="none"/>
        <c:tickLblPos val="nextTo"/>
        <c:spPr>
          <a:solidFill>
            <a:schemeClr val="bg1">
              <a:lumMod val="95000"/>
            </a:schemeClr>
          </a:solid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54804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[SupplyChainAnalysis.xlsx]PT_Supplier_Revenue!PivotTable4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C00000"/>
                </a:solidFill>
              </a:rPr>
              <a:t>Total revenue by suppliers</a:t>
            </a:r>
          </a:p>
        </c:rich>
      </c:tx>
      <c:layout>
        <c:manualLayout>
          <c:xMode val="edge"/>
          <c:yMode val="edge"/>
          <c:x val="0.28277777777777774"/>
          <c:y val="5.07805524096022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PT_Supplier_Revenue!$B$3</c:f>
              <c:strCache>
                <c:ptCount val="1"/>
                <c:pt idx="0">
                  <c:v>Total</c:v>
                </c:pt>
              </c:strCache>
            </c:strRef>
          </c:tx>
          <c:spPr>
            <a:solidFill>
              <a:srgbClr val="7030A0"/>
            </a:solidFill>
            <a:ln>
              <a:noFill/>
            </a:ln>
            <a:effectLst/>
          </c:spPr>
          <c:invertIfNegative val="0"/>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PT_Supplier_Revenue!$A$4:$A$9</c:f>
              <c:strCache>
                <c:ptCount val="5"/>
                <c:pt idx="0">
                  <c:v>Supplier 1</c:v>
                </c:pt>
                <c:pt idx="1">
                  <c:v>Supplier 2</c:v>
                </c:pt>
                <c:pt idx="2">
                  <c:v>Supplier 5</c:v>
                </c:pt>
                <c:pt idx="3">
                  <c:v>Supplier 3</c:v>
                </c:pt>
                <c:pt idx="4">
                  <c:v>Supplier 4</c:v>
                </c:pt>
              </c:strCache>
            </c:strRef>
          </c:cat>
          <c:val>
            <c:numRef>
              <c:f>PT_Supplier_Revenue!$B$4:$B$9</c:f>
              <c:numCache>
                <c:formatCode>"₹"\ #,##0</c:formatCode>
                <c:ptCount val="5"/>
                <c:pt idx="0">
                  <c:v>157528.99503945649</c:v>
                </c:pt>
                <c:pt idx="1">
                  <c:v>125467.41860530032</c:v>
                </c:pt>
                <c:pt idx="2">
                  <c:v>110343.46365628691</c:v>
                </c:pt>
                <c:pt idx="3">
                  <c:v>97795.979638162244</c:v>
                </c:pt>
                <c:pt idx="4">
                  <c:v>86468.961798802775</c:v>
                </c:pt>
              </c:numCache>
            </c:numRef>
          </c:val>
          <c:extLst>
            <c:ext xmlns:c16="http://schemas.microsoft.com/office/drawing/2014/chart" uri="{C3380CC4-5D6E-409C-BE32-E72D297353CC}">
              <c16:uniqueId val="{00000000-D29C-46DD-A687-6819C67B6790}"/>
            </c:ext>
          </c:extLst>
        </c:ser>
        <c:dLbls>
          <c:dLblPos val="ctr"/>
          <c:showLegendKey val="0"/>
          <c:showVal val="1"/>
          <c:showCatName val="0"/>
          <c:showSerName val="0"/>
          <c:showPercent val="0"/>
          <c:showBubbleSize val="0"/>
        </c:dLbls>
        <c:gapWidth val="150"/>
        <c:overlap val="100"/>
        <c:axId val="1666867472"/>
        <c:axId val="1643072240"/>
      </c:barChart>
      <c:catAx>
        <c:axId val="1666867472"/>
        <c:scaling>
          <c:orientation val="minMax"/>
        </c:scaling>
        <c:delete val="0"/>
        <c:axPos val="l"/>
        <c:numFmt formatCode="General" sourceLinked="1"/>
        <c:majorTickMark val="none"/>
        <c:minorTickMark val="none"/>
        <c:tickLblPos val="nextTo"/>
        <c:spPr>
          <a:solidFill>
            <a:schemeClr val="bg1">
              <a:lumMod val="95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43072240"/>
        <c:crosses val="autoZero"/>
        <c:auto val="1"/>
        <c:lblAlgn val="ctr"/>
        <c:lblOffset val="100"/>
        <c:noMultiLvlLbl val="0"/>
      </c:catAx>
      <c:valAx>
        <c:axId val="1643072240"/>
        <c:scaling>
          <c:orientation val="minMax"/>
        </c:scaling>
        <c:delete val="0"/>
        <c:axPos val="b"/>
        <c:majorGridlines>
          <c:spPr>
            <a:ln w="9525" cap="flat" cmpd="sng" algn="ctr">
              <a:solidFill>
                <a:schemeClr val="bg2">
                  <a:lumMod val="75000"/>
                  <a:alpha val="53000"/>
                </a:schemeClr>
              </a:solidFill>
              <a:round/>
            </a:ln>
            <a:effectLst/>
          </c:spPr>
        </c:majorGridlines>
        <c:numFmt formatCode="&quot;₹&quot;\ #,##0" sourceLinked="1"/>
        <c:majorTickMark val="none"/>
        <c:minorTickMark val="none"/>
        <c:tickLblPos val="nextTo"/>
        <c:spPr>
          <a:solidFill>
            <a:schemeClr val="bg1">
              <a:lumMod val="95000"/>
            </a:schemeClr>
          </a:solid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66867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[SupplyChainAnalysis.xlsx]PT_Supplier_LeadTime!PivotTable5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rgbClr val="C00000"/>
                </a:solidFill>
              </a:rPr>
              <a:t>Average</a:t>
            </a:r>
            <a:r>
              <a:rPr lang="en-IN" sz="1800" b="1" baseline="0">
                <a:solidFill>
                  <a:srgbClr val="C00000"/>
                </a:solidFill>
              </a:rPr>
              <a:t> leaad time</a:t>
            </a:r>
            <a:endParaRPr lang="en-IN" sz="1800" b="1">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264EE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64EE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64EE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PT_Supplier_LeadTime!$B$3</c:f>
              <c:strCache>
                <c:ptCount val="1"/>
                <c:pt idx="0">
                  <c:v>Total</c:v>
                </c:pt>
              </c:strCache>
            </c:strRef>
          </c:tx>
          <c:spPr>
            <a:solidFill>
              <a:srgbClr val="264EE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PT_Supplier_LeadTime!$A$4:$A$9</c:f>
              <c:strCache>
                <c:ptCount val="5"/>
                <c:pt idx="0">
                  <c:v>Supplier 3</c:v>
                </c:pt>
                <c:pt idx="1">
                  <c:v>Supplier 2</c:v>
                </c:pt>
                <c:pt idx="2">
                  <c:v>Supplier 5</c:v>
                </c:pt>
                <c:pt idx="3">
                  <c:v>Supplier 4</c:v>
                </c:pt>
                <c:pt idx="4">
                  <c:v>Supplier 1</c:v>
                </c:pt>
              </c:strCache>
            </c:strRef>
          </c:cat>
          <c:val>
            <c:numRef>
              <c:f>PT_Supplier_LeadTime!$B$4:$B$9</c:f>
              <c:numCache>
                <c:formatCode>0</c:formatCode>
                <c:ptCount val="5"/>
                <c:pt idx="0">
                  <c:v>20.133333333333333</c:v>
                </c:pt>
                <c:pt idx="1">
                  <c:v>18.545454545454547</c:v>
                </c:pt>
                <c:pt idx="2">
                  <c:v>18.055555555555557</c:v>
                </c:pt>
                <c:pt idx="3">
                  <c:v>15.222222222222221</c:v>
                </c:pt>
                <c:pt idx="4">
                  <c:v>14.777777777777779</c:v>
                </c:pt>
              </c:numCache>
            </c:numRef>
          </c:val>
          <c:extLst>
            <c:ext xmlns:c16="http://schemas.microsoft.com/office/drawing/2014/chart" uri="{C3380CC4-5D6E-409C-BE32-E72D297353CC}">
              <c16:uniqueId val="{00000000-1732-4B48-9671-AB72D2F122EA}"/>
            </c:ext>
          </c:extLst>
        </c:ser>
        <c:dLbls>
          <c:showLegendKey val="0"/>
          <c:showVal val="1"/>
          <c:showCatName val="0"/>
          <c:showSerName val="0"/>
          <c:showPercent val="0"/>
          <c:showBubbleSize val="0"/>
        </c:dLbls>
        <c:gapWidth val="150"/>
        <c:shape val="box"/>
        <c:axId val="1666758432"/>
        <c:axId val="1643033840"/>
        <c:axId val="0"/>
      </c:bar3DChart>
      <c:catAx>
        <c:axId val="1666758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643033840"/>
        <c:crosses val="autoZero"/>
        <c:auto val="1"/>
        <c:lblAlgn val="ctr"/>
        <c:lblOffset val="100"/>
        <c:noMultiLvlLbl val="0"/>
      </c:catAx>
      <c:valAx>
        <c:axId val="16430338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666758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[SupplyChainAnalysis.xlsx]PT_Transportation!PivotTable6</c:name>
    <c:fmtId val="3"/>
  </c:pivotSource>
  <c:chart>
    <c:autoTitleDeleted val="1"/>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PT_Transportation!$B$3</c:f>
              <c:strCache>
                <c:ptCount val="1"/>
                <c:pt idx="0">
                  <c:v>Sum of Shipping_costs</c:v>
                </c:pt>
              </c:strCache>
            </c:strRef>
          </c:tx>
          <c:spPr>
            <a:solidFill>
              <a:schemeClr val="accent1">
                <a:lumMod val="75000"/>
              </a:schemeClr>
            </a:solidFill>
            <a:ln>
              <a:noFill/>
            </a:ln>
            <a:effectLst/>
          </c:spPr>
          <c:invertIfNegative val="0"/>
          <c:cat>
            <c:strRef>
              <c:f>PT_Transportation!$A$4:$A$8</c:f>
              <c:strCache>
                <c:ptCount val="4"/>
                <c:pt idx="0">
                  <c:v>Air</c:v>
                </c:pt>
                <c:pt idx="1">
                  <c:v>Rail</c:v>
                </c:pt>
                <c:pt idx="2">
                  <c:v>Road</c:v>
                </c:pt>
                <c:pt idx="3">
                  <c:v>Sea</c:v>
                </c:pt>
              </c:strCache>
            </c:strRef>
          </c:cat>
          <c:val>
            <c:numRef>
              <c:f>PT_Transportation!$B$4:$B$8</c:f>
              <c:numCache>
                <c:formatCode>"₹"\ #,##0.00</c:formatCode>
                <c:ptCount val="4"/>
                <c:pt idx="0">
                  <c:v>156.46382382094407</c:v>
                </c:pt>
                <c:pt idx="1">
                  <c:v>153.13474221088009</c:v>
                </c:pt>
                <c:pt idx="2">
                  <c:v>160.72134631132815</c:v>
                </c:pt>
                <c:pt idx="3">
                  <c:v>84.494994858806365</c:v>
                </c:pt>
              </c:numCache>
            </c:numRef>
          </c:val>
          <c:extLst>
            <c:ext xmlns:c16="http://schemas.microsoft.com/office/drawing/2014/chart" uri="{C3380CC4-5D6E-409C-BE32-E72D297353CC}">
              <c16:uniqueId val="{00000000-2A04-4C26-82CE-6FEBF7D39F70}"/>
            </c:ext>
          </c:extLst>
        </c:ser>
        <c:dLbls>
          <c:showLegendKey val="0"/>
          <c:showVal val="0"/>
          <c:showCatName val="0"/>
          <c:showSerName val="0"/>
          <c:showPercent val="0"/>
          <c:showBubbleSize val="0"/>
        </c:dLbls>
        <c:gapWidth val="219"/>
        <c:overlap val="100"/>
        <c:axId val="1666858192"/>
        <c:axId val="1643034320"/>
      </c:barChart>
      <c:lineChart>
        <c:grouping val="standard"/>
        <c:varyColors val="0"/>
        <c:ser>
          <c:idx val="1"/>
          <c:order val="1"/>
          <c:tx>
            <c:strRef>
              <c:f>PT_Transportation!$C$3</c:f>
              <c:strCache>
                <c:ptCount val="1"/>
                <c:pt idx="0">
                  <c:v>Average of Shipping_times</c:v>
                </c:pt>
              </c:strCache>
            </c:strRef>
          </c:tx>
          <c:spPr>
            <a:ln w="28575" cap="rnd">
              <a:solidFill>
                <a:srgbClr val="FF0000"/>
              </a:solidFill>
              <a:round/>
            </a:ln>
            <a:effectLst/>
          </c:spPr>
          <c:marker>
            <c:symbol val="none"/>
          </c:marker>
          <c:cat>
            <c:strRef>
              <c:f>PT_Transportation!$A$4:$A$8</c:f>
              <c:strCache>
                <c:ptCount val="4"/>
                <c:pt idx="0">
                  <c:v>Air</c:v>
                </c:pt>
                <c:pt idx="1">
                  <c:v>Rail</c:v>
                </c:pt>
                <c:pt idx="2">
                  <c:v>Road</c:v>
                </c:pt>
                <c:pt idx="3">
                  <c:v>Sea</c:v>
                </c:pt>
              </c:strCache>
            </c:strRef>
          </c:cat>
          <c:val>
            <c:numRef>
              <c:f>PT_Transportation!$C$4:$C$8</c:f>
              <c:numCache>
                <c:formatCode>0.00</c:formatCode>
                <c:ptCount val="4"/>
                <c:pt idx="0">
                  <c:v>5.115384615384615</c:v>
                </c:pt>
                <c:pt idx="1">
                  <c:v>6.5714285714285712</c:v>
                </c:pt>
                <c:pt idx="2">
                  <c:v>4.7241379310344831</c:v>
                </c:pt>
                <c:pt idx="3">
                  <c:v>7.117647058823529</c:v>
                </c:pt>
              </c:numCache>
            </c:numRef>
          </c:val>
          <c:smooth val="0"/>
          <c:extLst>
            <c:ext xmlns:c16="http://schemas.microsoft.com/office/drawing/2014/chart" uri="{C3380CC4-5D6E-409C-BE32-E72D297353CC}">
              <c16:uniqueId val="{00000001-2A04-4C26-82CE-6FEBF7D39F70}"/>
            </c:ext>
          </c:extLst>
        </c:ser>
        <c:dLbls>
          <c:showLegendKey val="0"/>
          <c:showVal val="0"/>
          <c:showCatName val="0"/>
          <c:showSerName val="0"/>
          <c:showPercent val="0"/>
          <c:showBubbleSize val="0"/>
        </c:dLbls>
        <c:marker val="1"/>
        <c:smooth val="0"/>
        <c:axId val="1666896240"/>
        <c:axId val="1643029520"/>
      </c:lineChart>
      <c:catAx>
        <c:axId val="1666858192"/>
        <c:scaling>
          <c:orientation val="minMax"/>
        </c:scaling>
        <c:delete val="0"/>
        <c:axPos val="b"/>
        <c:numFmt formatCode="General" sourceLinked="1"/>
        <c:majorTickMark val="none"/>
        <c:minorTickMark val="none"/>
        <c:tickLblPos val="nextTo"/>
        <c:spPr>
          <a:solidFill>
            <a:schemeClr val="bg1"/>
          </a:solidFill>
          <a:ln w="9525" cap="flat" cmpd="sng" algn="ctr">
            <a:solidFill>
              <a:schemeClr val="bg2">
                <a:lumMod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43034320"/>
        <c:crosses val="autoZero"/>
        <c:auto val="1"/>
        <c:lblAlgn val="ctr"/>
        <c:lblOffset val="100"/>
        <c:noMultiLvlLbl val="0"/>
      </c:catAx>
      <c:valAx>
        <c:axId val="16430343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66858192"/>
        <c:crosses val="autoZero"/>
        <c:crossBetween val="between"/>
      </c:valAx>
      <c:valAx>
        <c:axId val="1643029520"/>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66896240"/>
        <c:crosses val="max"/>
        <c:crossBetween val="between"/>
      </c:valAx>
      <c:catAx>
        <c:axId val="1666896240"/>
        <c:scaling>
          <c:orientation val="minMax"/>
        </c:scaling>
        <c:delete val="1"/>
        <c:axPos val="b"/>
        <c:numFmt formatCode="General" sourceLinked="1"/>
        <c:majorTickMark val="out"/>
        <c:minorTickMark val="none"/>
        <c:tickLblPos val="nextTo"/>
        <c:crossAx val="164302952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[SupplyChainAnalysis.xlsx]PT_Inspection!PivotTable7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C00000"/>
                </a:solidFill>
              </a:rPr>
              <a:t>Total SKU</a:t>
            </a:r>
          </a:p>
        </c:rich>
      </c:tx>
      <c:layout>
        <c:manualLayout>
          <c:xMode val="edge"/>
          <c:yMode val="edge"/>
          <c:x val="0.36997683430533856"/>
          <c:y val="8.45160318431689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manualLayout>
          <c:layoutTarget val="inner"/>
          <c:xMode val="edge"/>
          <c:yMode val="edge"/>
          <c:x val="0.29021742493386754"/>
          <c:y val="0.29333627857475858"/>
          <c:w val="0.31736241797223336"/>
          <c:h val="0.64076889312405794"/>
        </c:manualLayout>
      </c:layout>
      <c:doughnutChart>
        <c:varyColors val="1"/>
        <c:ser>
          <c:idx val="0"/>
          <c:order val="0"/>
          <c:tx>
            <c:strRef>
              <c:f>PT_Inspection!$B$3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A50-4BC4-BCA8-D1657955E91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A50-4BC4-BCA8-D1657955E91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A50-4BC4-BCA8-D1657955E91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PT_Inspection!$A$4:$A$7</c:f>
              <c:strCache>
                <c:ptCount val="3"/>
                <c:pt idx="0">
                  <c:v>Pending</c:v>
                </c:pt>
                <c:pt idx="1">
                  <c:v>Fail</c:v>
                </c:pt>
                <c:pt idx="2">
                  <c:v>Pass</c:v>
                </c:pt>
              </c:strCache>
            </c:strRef>
          </c:cat>
          <c:val>
            <c:numRef>
              <c:f>PT_Inspection!$B$4:$B$7</c:f>
              <c:numCache>
                <c:formatCode>General</c:formatCode>
                <c:ptCount val="3"/>
                <c:pt idx="0">
                  <c:v>41</c:v>
                </c:pt>
                <c:pt idx="1">
                  <c:v>36</c:v>
                </c:pt>
                <c:pt idx="2">
                  <c:v>23</c:v>
                </c:pt>
              </c:numCache>
            </c:numRef>
          </c:val>
          <c:extLst>
            <c:ext xmlns:c16="http://schemas.microsoft.com/office/drawing/2014/chart" uri="{C3380CC4-5D6E-409C-BE32-E72D297353CC}">
              <c16:uniqueId val="{00000006-1A50-4BC4-BCA8-D1657955E91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[SupplyChainAnalysis.xlsx]PT_Defect_Rate_Supplier!PivotTable2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C00000"/>
                </a:solidFill>
              </a:rPr>
              <a:t>Average Defect</a:t>
            </a:r>
            <a:r>
              <a:rPr lang="en-US" sz="1600" b="1" baseline="0">
                <a:solidFill>
                  <a:srgbClr val="C00000"/>
                </a:solidFill>
              </a:rPr>
              <a:t> Rates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DA2E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A2E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A2E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PT_Defect_Rate_Supplier!$B$3</c:f>
              <c:strCache>
                <c:ptCount val="1"/>
                <c:pt idx="0">
                  <c:v>Total</c:v>
                </c:pt>
              </c:strCache>
            </c:strRef>
          </c:tx>
          <c:spPr>
            <a:solidFill>
              <a:srgbClr val="DA2E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PT_Defect_Rate_Supplier!$A$4:$A$9</c:f>
              <c:strCache>
                <c:ptCount val="5"/>
                <c:pt idx="0">
                  <c:v>Supplier 1</c:v>
                </c:pt>
                <c:pt idx="1">
                  <c:v>Supplier 2</c:v>
                </c:pt>
                <c:pt idx="2">
                  <c:v>Supplier 3</c:v>
                </c:pt>
                <c:pt idx="3">
                  <c:v>Supplier 4</c:v>
                </c:pt>
                <c:pt idx="4">
                  <c:v>Supplier 5</c:v>
                </c:pt>
              </c:strCache>
            </c:strRef>
          </c:cat>
          <c:val>
            <c:numRef>
              <c:f>PT_Defect_Rate_Supplier!$B$4:$B$9</c:f>
              <c:numCache>
                <c:formatCode>0.00</c:formatCode>
                <c:ptCount val="5"/>
                <c:pt idx="0">
                  <c:v>1.8036297116882525</c:v>
                </c:pt>
                <c:pt idx="1">
                  <c:v>2.3627501450718813</c:v>
                </c:pt>
                <c:pt idx="2">
                  <c:v>2.4657860307644701</c:v>
                </c:pt>
                <c:pt idx="3">
                  <c:v>2.3373974005913398</c:v>
                </c:pt>
                <c:pt idx="4">
                  <c:v>2.6654083441492014</c:v>
                </c:pt>
              </c:numCache>
            </c:numRef>
          </c:val>
          <c:extLst>
            <c:ext xmlns:c16="http://schemas.microsoft.com/office/drawing/2014/chart" uri="{C3380CC4-5D6E-409C-BE32-E72D297353CC}">
              <c16:uniqueId val="{00000000-AF5B-42ED-9007-8406ACD5AB73}"/>
            </c:ext>
          </c:extLst>
        </c:ser>
        <c:dLbls>
          <c:dLblPos val="outEnd"/>
          <c:showLegendKey val="0"/>
          <c:showVal val="1"/>
          <c:showCatName val="0"/>
          <c:showSerName val="0"/>
          <c:showPercent val="0"/>
          <c:showBubbleSize val="0"/>
        </c:dLbls>
        <c:gapWidth val="182"/>
        <c:axId val="1006039184"/>
        <c:axId val="1329111280"/>
      </c:barChart>
      <c:catAx>
        <c:axId val="1006039184"/>
        <c:scaling>
          <c:orientation val="minMax"/>
        </c:scaling>
        <c:delete val="0"/>
        <c:axPos val="l"/>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329111280"/>
        <c:crosses val="autoZero"/>
        <c:auto val="1"/>
        <c:lblAlgn val="ctr"/>
        <c:lblOffset val="100"/>
        <c:noMultiLvlLbl val="0"/>
      </c:catAx>
      <c:valAx>
        <c:axId val="1329111280"/>
        <c:scaling>
          <c:orientation val="minMax"/>
        </c:scaling>
        <c:delete val="0"/>
        <c:axPos val="b"/>
        <c:majorGridlines>
          <c:spPr>
            <a:ln w="9525" cap="flat" cmpd="sng" algn="ctr">
              <a:solidFill>
                <a:schemeClr val="bg2">
                  <a:lumMod val="90000"/>
                </a:schemeClr>
              </a:solidFill>
              <a:round/>
            </a:ln>
            <a:effectLst/>
          </c:spPr>
        </c:majorGridlines>
        <c:numFmt formatCode="0.00"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06039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[SupplyChainAnalysis.xlsx]Top-_10_Product!PivotTable9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C00000"/>
                </a:solidFill>
              </a:rPr>
              <a:t>Top</a:t>
            </a:r>
            <a:r>
              <a:rPr lang="en-US" sz="1600" b="1" baseline="0">
                <a:solidFill>
                  <a:srgbClr val="C00000"/>
                </a:solidFill>
              </a:rPr>
              <a:t> 10 Products</a:t>
            </a:r>
            <a:endParaRPr lang="en-US" sz="1600" b="1">
              <a:solidFill>
                <a:srgbClr val="C00000"/>
              </a:solidFill>
            </a:endParaRPr>
          </a:p>
        </c:rich>
      </c:tx>
      <c:layout>
        <c:manualLayout>
          <c:xMode val="edge"/>
          <c:yMode val="edge"/>
          <c:x val="0.35091376405460234"/>
          <c:y val="6.69452011372409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968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968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968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53118230581439"/>
          <c:y val="0.27713653782820874"/>
          <c:w val="0.69876022934360282"/>
          <c:h val="0.60785268405137571"/>
        </c:manualLayout>
      </c:layout>
      <c:barChart>
        <c:barDir val="bar"/>
        <c:grouping val="clustered"/>
        <c:varyColors val="0"/>
        <c:ser>
          <c:idx val="0"/>
          <c:order val="0"/>
          <c:tx>
            <c:strRef>
              <c:f>'Top-_10_Product'!$B$4</c:f>
              <c:strCache>
                <c:ptCount val="1"/>
                <c:pt idx="0">
                  <c:v>Total</c:v>
                </c:pt>
              </c:strCache>
            </c:strRef>
          </c:tx>
          <c:spPr>
            <a:solidFill>
              <a:srgbClr val="F9680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'Top-_10_Product'!$A$5:$A$15</c:f>
              <c:strCache>
                <c:ptCount val="10"/>
                <c:pt idx="0">
                  <c:v>SKU51</c:v>
                </c:pt>
                <c:pt idx="1">
                  <c:v>SKU38</c:v>
                </c:pt>
                <c:pt idx="2">
                  <c:v>SKU31</c:v>
                </c:pt>
                <c:pt idx="3">
                  <c:v>SKU90</c:v>
                </c:pt>
                <c:pt idx="4">
                  <c:v>SKU2</c:v>
                </c:pt>
                <c:pt idx="5">
                  <c:v>SKU32</c:v>
                </c:pt>
                <c:pt idx="6">
                  <c:v>SKU67</c:v>
                </c:pt>
                <c:pt idx="7">
                  <c:v>SKU88</c:v>
                </c:pt>
                <c:pt idx="8">
                  <c:v>SKU52</c:v>
                </c:pt>
                <c:pt idx="9">
                  <c:v>SKU18</c:v>
                </c:pt>
              </c:strCache>
            </c:strRef>
          </c:cat>
          <c:val>
            <c:numRef>
              <c:f>'Top-_10_Product'!$B$5:$B$15</c:f>
              <c:numCache>
                <c:formatCode>"₹"\ #,##0</c:formatCode>
                <c:ptCount val="10"/>
                <c:pt idx="0">
                  <c:v>9866.465457979697</c:v>
                </c:pt>
                <c:pt idx="1">
                  <c:v>9692.3180402184316</c:v>
                </c:pt>
                <c:pt idx="2">
                  <c:v>9655.1351027193978</c:v>
                </c:pt>
                <c:pt idx="3">
                  <c:v>9592.6335702803117</c:v>
                </c:pt>
                <c:pt idx="4">
                  <c:v>9577.7496258687297</c:v>
                </c:pt>
                <c:pt idx="5">
                  <c:v>9571.5504873278187</c:v>
                </c:pt>
                <c:pt idx="6">
                  <c:v>9473.7980325083372</c:v>
                </c:pt>
                <c:pt idx="7">
                  <c:v>9444.7420330629793</c:v>
                </c:pt>
                <c:pt idx="8">
                  <c:v>9435.7626089121295</c:v>
                </c:pt>
                <c:pt idx="9">
                  <c:v>9364.6735050761727</c:v>
                </c:pt>
              </c:numCache>
            </c:numRef>
          </c:val>
          <c:extLst>
            <c:ext xmlns:c16="http://schemas.microsoft.com/office/drawing/2014/chart" uri="{C3380CC4-5D6E-409C-BE32-E72D297353CC}">
              <c16:uniqueId val="{00000000-2364-48FD-8A17-708E4970B94C}"/>
            </c:ext>
          </c:extLst>
        </c:ser>
        <c:dLbls>
          <c:dLblPos val="outEnd"/>
          <c:showLegendKey val="0"/>
          <c:showVal val="1"/>
          <c:showCatName val="0"/>
          <c:showSerName val="0"/>
          <c:showPercent val="0"/>
          <c:showBubbleSize val="0"/>
        </c:dLbls>
        <c:gapWidth val="182"/>
        <c:axId val="1666892528"/>
        <c:axId val="1643016560"/>
      </c:barChart>
      <c:catAx>
        <c:axId val="1666892528"/>
        <c:scaling>
          <c:orientation val="minMax"/>
        </c:scaling>
        <c:delete val="0"/>
        <c:axPos val="l"/>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643016560"/>
        <c:crosses val="autoZero"/>
        <c:auto val="1"/>
        <c:lblAlgn val="ctr"/>
        <c:lblOffset val="100"/>
        <c:noMultiLvlLbl val="0"/>
      </c:catAx>
      <c:valAx>
        <c:axId val="1643016560"/>
        <c:scaling>
          <c:orientation val="minMax"/>
        </c:scaling>
        <c:delete val="0"/>
        <c:axPos val="b"/>
        <c:majorGridlines>
          <c:spPr>
            <a:ln w="9525" cap="flat" cmpd="sng" algn="ctr">
              <a:solidFill>
                <a:schemeClr val="accent6">
                  <a:lumMod val="20000"/>
                  <a:lumOff val="80000"/>
                </a:schemeClr>
              </a:solidFill>
              <a:round/>
            </a:ln>
            <a:effectLst/>
          </c:spPr>
        </c:majorGridlines>
        <c:numFmt formatCode="&quot;₹&quot;\ #,##0"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666892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30480</xdr:colOff>
      <xdr:row>0</xdr:row>
      <xdr:rowOff>22860</xdr:rowOff>
    </xdr:from>
    <xdr:to>
      <xdr:col>12</xdr:col>
      <xdr:colOff>7620</xdr:colOff>
      <xdr:row>17</xdr:row>
      <xdr:rowOff>53340</xdr:rowOff>
    </xdr:to>
    <xdr:graphicFrame macro="">
      <xdr:nvGraphicFramePr>
        <xdr:cNvPr id="2" name="Chart 1">
          <a:extLst>
            <a:ext uri="{FF2B5EF4-FFF2-40B4-BE49-F238E27FC236}">
              <a16:creationId xmlns:a16="http://schemas.microsoft.com/office/drawing/2014/main" id="{18A593EC-219A-B0D5-20C9-13B42761F5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0</xdr:row>
      <xdr:rowOff>0</xdr:rowOff>
    </xdr:from>
    <xdr:to>
      <xdr:col>10</xdr:col>
      <xdr:colOff>304800</xdr:colOff>
      <xdr:row>15</xdr:row>
      <xdr:rowOff>0</xdr:rowOff>
    </xdr:to>
    <xdr:graphicFrame macro="">
      <xdr:nvGraphicFramePr>
        <xdr:cNvPr id="2" name="Chart 1">
          <a:extLst>
            <a:ext uri="{FF2B5EF4-FFF2-40B4-BE49-F238E27FC236}">
              <a16:creationId xmlns:a16="http://schemas.microsoft.com/office/drawing/2014/main" id="{35E82D5B-2443-F498-A8C1-CAA23993BA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15240</xdr:colOff>
      <xdr:row>0</xdr:row>
      <xdr:rowOff>0</xdr:rowOff>
    </xdr:from>
    <xdr:to>
      <xdr:col>10</xdr:col>
      <xdr:colOff>320040</xdr:colOff>
      <xdr:row>15</xdr:row>
      <xdr:rowOff>0</xdr:rowOff>
    </xdr:to>
    <xdr:graphicFrame macro="">
      <xdr:nvGraphicFramePr>
        <xdr:cNvPr id="2" name="Chart 1">
          <a:extLst>
            <a:ext uri="{FF2B5EF4-FFF2-40B4-BE49-F238E27FC236}">
              <a16:creationId xmlns:a16="http://schemas.microsoft.com/office/drawing/2014/main" id="{D9B1F238-61D7-88E2-BD18-5B4BDB51F2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45720</xdr:colOff>
      <xdr:row>0</xdr:row>
      <xdr:rowOff>7620</xdr:rowOff>
    </xdr:from>
    <xdr:to>
      <xdr:col>10</xdr:col>
      <xdr:colOff>350520</xdr:colOff>
      <xdr:row>15</xdr:row>
      <xdr:rowOff>7620</xdr:rowOff>
    </xdr:to>
    <xdr:graphicFrame macro="">
      <xdr:nvGraphicFramePr>
        <xdr:cNvPr id="2" name="Chart 1">
          <a:extLst>
            <a:ext uri="{FF2B5EF4-FFF2-40B4-BE49-F238E27FC236}">
              <a16:creationId xmlns:a16="http://schemas.microsoft.com/office/drawing/2014/main" id="{7449CADA-24F9-3D17-0505-9FAD77EF0E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601980</xdr:colOff>
      <xdr:row>0</xdr:row>
      <xdr:rowOff>0</xdr:rowOff>
    </xdr:from>
    <xdr:to>
      <xdr:col>12</xdr:col>
      <xdr:colOff>464820</xdr:colOff>
      <xdr:row>15</xdr:row>
      <xdr:rowOff>0</xdr:rowOff>
    </xdr:to>
    <xdr:graphicFrame macro="">
      <xdr:nvGraphicFramePr>
        <xdr:cNvPr id="2" name="Chart 1">
          <a:extLst>
            <a:ext uri="{FF2B5EF4-FFF2-40B4-BE49-F238E27FC236}">
              <a16:creationId xmlns:a16="http://schemas.microsoft.com/office/drawing/2014/main" id="{A9D87C65-9701-2C6E-657B-CB9AF91053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0</xdr:row>
      <xdr:rowOff>0</xdr:rowOff>
    </xdr:from>
    <xdr:to>
      <xdr:col>10</xdr:col>
      <xdr:colOff>304800</xdr:colOff>
      <xdr:row>15</xdr:row>
      <xdr:rowOff>0</xdr:rowOff>
    </xdr:to>
    <xdr:graphicFrame macro="">
      <xdr:nvGraphicFramePr>
        <xdr:cNvPr id="3" name="Chart 2">
          <a:extLst>
            <a:ext uri="{FF2B5EF4-FFF2-40B4-BE49-F238E27FC236}">
              <a16:creationId xmlns:a16="http://schemas.microsoft.com/office/drawing/2014/main" id="{75B9F229-A5FA-2DE0-F158-9E9E3BF13C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22860</xdr:colOff>
      <xdr:row>0</xdr:row>
      <xdr:rowOff>0</xdr:rowOff>
    </xdr:from>
    <xdr:to>
      <xdr:col>10</xdr:col>
      <xdr:colOff>327660</xdr:colOff>
      <xdr:row>15</xdr:row>
      <xdr:rowOff>0</xdr:rowOff>
    </xdr:to>
    <xdr:graphicFrame macro="">
      <xdr:nvGraphicFramePr>
        <xdr:cNvPr id="2" name="Chart 1">
          <a:extLst>
            <a:ext uri="{FF2B5EF4-FFF2-40B4-BE49-F238E27FC236}">
              <a16:creationId xmlns:a16="http://schemas.microsoft.com/office/drawing/2014/main" id="{C42A809C-72E2-C29C-9302-219A196FC0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586740</xdr:colOff>
      <xdr:row>0</xdr:row>
      <xdr:rowOff>0</xdr:rowOff>
    </xdr:from>
    <xdr:to>
      <xdr:col>10</xdr:col>
      <xdr:colOff>281940</xdr:colOff>
      <xdr:row>15</xdr:row>
      <xdr:rowOff>0</xdr:rowOff>
    </xdr:to>
    <xdr:graphicFrame macro="">
      <xdr:nvGraphicFramePr>
        <xdr:cNvPr id="2" name="Chart 1">
          <a:extLst>
            <a:ext uri="{FF2B5EF4-FFF2-40B4-BE49-F238E27FC236}">
              <a16:creationId xmlns:a16="http://schemas.microsoft.com/office/drawing/2014/main" id="{727919C0-5BE9-14AC-2DD5-D17D4E4937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9</xdr:col>
      <xdr:colOff>243840</xdr:colOff>
      <xdr:row>0</xdr:row>
      <xdr:rowOff>152400</xdr:rowOff>
    </xdr:from>
    <xdr:to>
      <xdr:col>11</xdr:col>
      <xdr:colOff>548640</xdr:colOff>
      <xdr:row>4</xdr:row>
      <xdr:rowOff>0</xdr:rowOff>
    </xdr:to>
    <xdr:sp macro="" textlink="">
      <xdr:nvSpPr>
        <xdr:cNvPr id="2" name="TextBox 1">
          <a:extLst>
            <a:ext uri="{FF2B5EF4-FFF2-40B4-BE49-F238E27FC236}">
              <a16:creationId xmlns:a16="http://schemas.microsoft.com/office/drawing/2014/main" id="{18BA78DE-8C10-26A3-09B7-7DC826344F98}"/>
            </a:ext>
          </a:extLst>
        </xdr:cNvPr>
        <xdr:cNvSpPr txBox="1"/>
      </xdr:nvSpPr>
      <xdr:spPr>
        <a:xfrm>
          <a:off x="5730240" y="883920"/>
          <a:ext cx="1524000" cy="5791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3200" b="1">
            <a:solidFill>
              <a:srgbClr val="C00000"/>
            </a:solidFill>
          </a:endParaRPr>
        </a:p>
      </xdr:txBody>
    </xdr:sp>
    <xdr:clientData/>
  </xdr:twoCellAnchor>
  <xdr:twoCellAnchor>
    <xdr:from>
      <xdr:col>0</xdr:col>
      <xdr:colOff>0</xdr:colOff>
      <xdr:row>18</xdr:row>
      <xdr:rowOff>57696</xdr:rowOff>
    </xdr:from>
    <xdr:to>
      <xdr:col>9</xdr:col>
      <xdr:colOff>81280</xdr:colOff>
      <xdr:row>31</xdr:row>
      <xdr:rowOff>12882</xdr:rowOff>
    </xdr:to>
    <xdr:graphicFrame macro="">
      <xdr:nvGraphicFramePr>
        <xdr:cNvPr id="3" name="Chart 2">
          <a:extLst>
            <a:ext uri="{FF2B5EF4-FFF2-40B4-BE49-F238E27FC236}">
              <a16:creationId xmlns:a16="http://schemas.microsoft.com/office/drawing/2014/main" id="{D3DDCB1F-C5AC-48F8-BB81-92DCE60C1C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168910</xdr:colOff>
      <xdr:row>18</xdr:row>
      <xdr:rowOff>73661</xdr:rowOff>
    </xdr:from>
    <xdr:to>
      <xdr:col>18</xdr:col>
      <xdr:colOff>311150</xdr:colOff>
      <xdr:row>31</xdr:row>
      <xdr:rowOff>30480</xdr:rowOff>
    </xdr:to>
    <xdr:graphicFrame macro="">
      <xdr:nvGraphicFramePr>
        <xdr:cNvPr id="4" name="Chart 3">
          <a:extLst>
            <a:ext uri="{FF2B5EF4-FFF2-40B4-BE49-F238E27FC236}">
              <a16:creationId xmlns:a16="http://schemas.microsoft.com/office/drawing/2014/main" id="{AA7239F4-BE1D-4EBA-8F12-F614F9DB3C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16872</xdr:colOff>
      <xdr:row>46</xdr:row>
      <xdr:rowOff>166370</xdr:rowOff>
    </xdr:from>
    <xdr:to>
      <xdr:col>7</xdr:col>
      <xdr:colOff>321672</xdr:colOff>
      <xdr:row>61</xdr:row>
      <xdr:rowOff>60597</xdr:rowOff>
    </xdr:to>
    <xdr:graphicFrame macro="">
      <xdr:nvGraphicFramePr>
        <xdr:cNvPr id="5" name="Chart 4">
          <a:extLst>
            <a:ext uri="{FF2B5EF4-FFF2-40B4-BE49-F238E27FC236}">
              <a16:creationId xmlns:a16="http://schemas.microsoft.com/office/drawing/2014/main" id="{D0F14BD4-262B-493A-BAE7-482D3DE8E4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484234</xdr:colOff>
      <xdr:row>47</xdr:row>
      <xdr:rowOff>40277</xdr:rowOff>
    </xdr:from>
    <xdr:to>
      <xdr:col>14</xdr:col>
      <xdr:colOff>425814</xdr:colOff>
      <xdr:row>61</xdr:row>
      <xdr:rowOff>70757</xdr:rowOff>
    </xdr:to>
    <xdr:graphicFrame macro="">
      <xdr:nvGraphicFramePr>
        <xdr:cNvPr id="6" name="Chart 5">
          <a:extLst>
            <a:ext uri="{FF2B5EF4-FFF2-40B4-BE49-F238E27FC236}">
              <a16:creationId xmlns:a16="http://schemas.microsoft.com/office/drawing/2014/main" id="{26034E7B-C94B-4AE6-80E7-B0E2C56DD4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571499</xdr:colOff>
      <xdr:row>47</xdr:row>
      <xdr:rowOff>87811</xdr:rowOff>
    </xdr:from>
    <xdr:to>
      <xdr:col>24</xdr:col>
      <xdr:colOff>91258</xdr:colOff>
      <xdr:row>61</xdr:row>
      <xdr:rowOff>87811</xdr:rowOff>
    </xdr:to>
    <xdr:graphicFrame macro="">
      <xdr:nvGraphicFramePr>
        <xdr:cNvPr id="7" name="Chart 6">
          <a:extLst>
            <a:ext uri="{FF2B5EF4-FFF2-40B4-BE49-F238E27FC236}">
              <a16:creationId xmlns:a16="http://schemas.microsoft.com/office/drawing/2014/main" id="{BE021939-25E0-43D3-99E5-9B5F7A126B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40821</xdr:colOff>
      <xdr:row>31</xdr:row>
      <xdr:rowOff>111759</xdr:rowOff>
    </xdr:from>
    <xdr:to>
      <xdr:col>8</xdr:col>
      <xdr:colOff>335461</xdr:colOff>
      <xdr:row>46</xdr:row>
      <xdr:rowOff>30480</xdr:rowOff>
    </xdr:to>
    <xdr:graphicFrame macro="">
      <xdr:nvGraphicFramePr>
        <xdr:cNvPr id="8" name="Chart 7">
          <a:extLst>
            <a:ext uri="{FF2B5EF4-FFF2-40B4-BE49-F238E27FC236}">
              <a16:creationId xmlns:a16="http://schemas.microsoft.com/office/drawing/2014/main" id="{A9453C6D-9F9E-4996-A2BF-57169C1FBC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392431</xdr:colOff>
      <xdr:row>31</xdr:row>
      <xdr:rowOff>162741</xdr:rowOff>
    </xdr:from>
    <xdr:to>
      <xdr:col>23</xdr:col>
      <xdr:colOff>608512</xdr:colOff>
      <xdr:row>46</xdr:row>
      <xdr:rowOff>61142</xdr:rowOff>
    </xdr:to>
    <xdr:graphicFrame macro="">
      <xdr:nvGraphicFramePr>
        <xdr:cNvPr id="10" name="Chart 9">
          <a:extLst>
            <a:ext uri="{FF2B5EF4-FFF2-40B4-BE49-F238E27FC236}">
              <a16:creationId xmlns:a16="http://schemas.microsoft.com/office/drawing/2014/main" id="{7F0E319A-C4DB-41E6-AE98-39F8F0C598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470444</xdr:colOff>
      <xdr:row>31</xdr:row>
      <xdr:rowOff>128813</xdr:rowOff>
    </xdr:from>
    <xdr:to>
      <xdr:col>16</xdr:col>
      <xdr:colOff>246924</xdr:colOff>
      <xdr:row>46</xdr:row>
      <xdr:rowOff>57694</xdr:rowOff>
    </xdr:to>
    <xdr:graphicFrame macro="">
      <xdr:nvGraphicFramePr>
        <xdr:cNvPr id="11" name="Chart 10">
          <a:extLst>
            <a:ext uri="{FF2B5EF4-FFF2-40B4-BE49-F238E27FC236}">
              <a16:creationId xmlns:a16="http://schemas.microsoft.com/office/drawing/2014/main" id="{EE8DC1F7-2E89-4464-9DA1-71887A7FE8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21</xdr:col>
      <xdr:colOff>295171</xdr:colOff>
      <xdr:row>18</xdr:row>
      <xdr:rowOff>87898</xdr:rowOff>
    </xdr:from>
    <xdr:to>
      <xdr:col>23</xdr:col>
      <xdr:colOff>556847</xdr:colOff>
      <xdr:row>31</xdr:row>
      <xdr:rowOff>52337</xdr:rowOff>
    </xdr:to>
    <mc:AlternateContent xmlns:mc="http://schemas.openxmlformats.org/markup-compatibility/2006" xmlns:a14="http://schemas.microsoft.com/office/drawing/2010/main">
      <mc:Choice Requires="a14">
        <xdr:graphicFrame macro="">
          <xdr:nvGraphicFramePr>
            <xdr:cNvPr id="12" name="Product type">
              <a:extLst>
                <a:ext uri="{FF2B5EF4-FFF2-40B4-BE49-F238E27FC236}">
                  <a16:creationId xmlns:a16="http://schemas.microsoft.com/office/drawing/2014/main" id="{0B3D85EE-4FCC-1C1A-B734-774C4A1F940D}"/>
                </a:ext>
              </a:extLst>
            </xdr:cNvPr>
            <xdr:cNvGraphicFramePr/>
          </xdr:nvGraphicFramePr>
          <xdr:xfrm>
            <a:off x="0" y="0"/>
            <a:ext cx="0" cy="0"/>
          </xdr:xfrm>
          <a:graphic>
            <a:graphicData uri="http://schemas.microsoft.com/office/drawing/2010/slicer">
              <sle:slicer xmlns:sle="http://schemas.microsoft.com/office/drawing/2010/slicer" name="Product type"/>
            </a:graphicData>
          </a:graphic>
        </xdr:graphicFrame>
      </mc:Choice>
      <mc:Fallback xmlns="">
        <xdr:sp macro="" textlink="">
          <xdr:nvSpPr>
            <xdr:cNvPr id="0" name=""/>
            <xdr:cNvSpPr>
              <a:spLocks noTextEdit="1"/>
            </xdr:cNvSpPr>
          </xdr:nvSpPr>
          <xdr:spPr>
            <a:xfrm>
              <a:off x="13219863" y="3253129"/>
              <a:ext cx="1492599" cy="2250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480242</xdr:colOff>
      <xdr:row>18</xdr:row>
      <xdr:rowOff>115389</xdr:rowOff>
    </xdr:from>
    <xdr:to>
      <xdr:col>21</xdr:col>
      <xdr:colOff>190500</xdr:colOff>
      <xdr:row>31</xdr:row>
      <xdr:rowOff>29306</xdr:rowOff>
    </xdr:to>
    <mc:AlternateContent xmlns:mc="http://schemas.openxmlformats.org/markup-compatibility/2006" xmlns:a14="http://schemas.microsoft.com/office/drawing/2010/main">
      <mc:Choice Requires="a14">
        <xdr:graphicFrame macro="">
          <xdr:nvGraphicFramePr>
            <xdr:cNvPr id="13" name="Location">
              <a:extLst>
                <a:ext uri="{FF2B5EF4-FFF2-40B4-BE49-F238E27FC236}">
                  <a16:creationId xmlns:a16="http://schemas.microsoft.com/office/drawing/2014/main" id="{41C5D84E-DAF3-3BE4-976D-6A61EED67F32}"/>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1558550" y="3280620"/>
              <a:ext cx="1556642" cy="21999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7</xdr:row>
      <xdr:rowOff>163286</xdr:rowOff>
    </xdr:from>
    <xdr:to>
      <xdr:col>23</xdr:col>
      <xdr:colOff>571500</xdr:colOff>
      <xdr:row>13</xdr:row>
      <xdr:rowOff>27215</xdr:rowOff>
    </xdr:to>
    <xdr:sp macro="" textlink="">
      <xdr:nvSpPr>
        <xdr:cNvPr id="14" name="TextBox 13">
          <a:extLst>
            <a:ext uri="{FF2B5EF4-FFF2-40B4-BE49-F238E27FC236}">
              <a16:creationId xmlns:a16="http://schemas.microsoft.com/office/drawing/2014/main" id="{AE4CF9B6-CCDA-6235-3F50-584EC8C30F0F}"/>
            </a:ext>
          </a:extLst>
        </xdr:cNvPr>
        <xdr:cNvSpPr txBox="1"/>
      </xdr:nvSpPr>
      <xdr:spPr>
        <a:xfrm>
          <a:off x="0" y="1401536"/>
          <a:ext cx="14654893" cy="925286"/>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b="1">
              <a:solidFill>
                <a:srgbClr val="C00000"/>
              </a:solidFill>
            </a:rPr>
            <a:t>Supply Chain Performance Dashboard </a:t>
          </a:r>
        </a:p>
      </xdr:txBody>
    </xdr:sp>
    <xdr:clientData/>
  </xdr:twoCellAnchor>
  <xdr:twoCellAnchor>
    <xdr:from>
      <xdr:col>0</xdr:col>
      <xdr:colOff>13606</xdr:colOff>
      <xdr:row>13</xdr:row>
      <xdr:rowOff>40822</xdr:rowOff>
    </xdr:from>
    <xdr:to>
      <xdr:col>6</xdr:col>
      <xdr:colOff>517070</xdr:colOff>
      <xdr:row>17</xdr:row>
      <xdr:rowOff>108857</xdr:rowOff>
    </xdr:to>
    <xdr:sp macro="" textlink="">
      <xdr:nvSpPr>
        <xdr:cNvPr id="15" name="TextBox 14">
          <a:extLst>
            <a:ext uri="{FF2B5EF4-FFF2-40B4-BE49-F238E27FC236}">
              <a16:creationId xmlns:a16="http://schemas.microsoft.com/office/drawing/2014/main" id="{2D095D8E-F011-1751-F5D5-7E221B56BD9C}"/>
            </a:ext>
          </a:extLst>
        </xdr:cNvPr>
        <xdr:cNvSpPr txBox="1"/>
      </xdr:nvSpPr>
      <xdr:spPr>
        <a:xfrm>
          <a:off x="13606" y="2340429"/>
          <a:ext cx="4177393" cy="7756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Total Revenue</a:t>
          </a:r>
        </a:p>
        <a:p>
          <a:pPr algn="ctr"/>
          <a:r>
            <a:rPr lang="en-IN" sz="2000" b="1"/>
            <a:t>₹5.77L</a:t>
          </a:r>
        </a:p>
        <a:p>
          <a:pPr algn="ctr"/>
          <a:endParaRPr lang="en-IN" sz="2000" b="1"/>
        </a:p>
        <a:p>
          <a:pPr algn="ctr"/>
          <a:endParaRPr lang="en-IN" sz="2000" b="1"/>
        </a:p>
      </xdr:txBody>
    </xdr:sp>
    <xdr:clientData/>
  </xdr:twoCellAnchor>
  <xdr:twoCellAnchor>
    <xdr:from>
      <xdr:col>6</xdr:col>
      <xdr:colOff>585107</xdr:colOff>
      <xdr:row>13</xdr:row>
      <xdr:rowOff>40823</xdr:rowOff>
    </xdr:from>
    <xdr:to>
      <xdr:col>12</xdr:col>
      <xdr:colOff>217714</xdr:colOff>
      <xdr:row>17</xdr:row>
      <xdr:rowOff>95251</xdr:rowOff>
    </xdr:to>
    <xdr:sp macro="" textlink="">
      <xdr:nvSpPr>
        <xdr:cNvPr id="16" name="TextBox 15">
          <a:extLst>
            <a:ext uri="{FF2B5EF4-FFF2-40B4-BE49-F238E27FC236}">
              <a16:creationId xmlns:a16="http://schemas.microsoft.com/office/drawing/2014/main" id="{237260F8-C377-7C19-459D-2006D5FF93CA}"/>
            </a:ext>
          </a:extLst>
        </xdr:cNvPr>
        <xdr:cNvSpPr txBox="1"/>
      </xdr:nvSpPr>
      <xdr:spPr>
        <a:xfrm>
          <a:off x="4259036" y="2340430"/>
          <a:ext cx="3306535" cy="762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Total Units Sold</a:t>
          </a:r>
          <a:r>
            <a:rPr lang="en-IN" sz="1800" b="1"/>
            <a:t> </a:t>
          </a:r>
        </a:p>
        <a:p>
          <a:pPr algn="ctr"/>
          <a:r>
            <a:rPr lang="en-IN" sz="1800" b="1"/>
            <a:t>46,099</a:t>
          </a:r>
        </a:p>
      </xdr:txBody>
    </xdr:sp>
    <xdr:clientData/>
  </xdr:twoCellAnchor>
  <xdr:twoCellAnchor>
    <xdr:from>
      <xdr:col>12</xdr:col>
      <xdr:colOff>340179</xdr:colOff>
      <xdr:row>13</xdr:row>
      <xdr:rowOff>40822</xdr:rowOff>
    </xdr:from>
    <xdr:to>
      <xdr:col>18</xdr:col>
      <xdr:colOff>54428</xdr:colOff>
      <xdr:row>17</xdr:row>
      <xdr:rowOff>108858</xdr:rowOff>
    </xdr:to>
    <xdr:sp macro="" textlink="">
      <xdr:nvSpPr>
        <xdr:cNvPr id="17" name="TextBox 16">
          <a:extLst>
            <a:ext uri="{FF2B5EF4-FFF2-40B4-BE49-F238E27FC236}">
              <a16:creationId xmlns:a16="http://schemas.microsoft.com/office/drawing/2014/main" id="{34FA2CE6-BD3C-FDC7-DCC4-BFDC066C2B2C}"/>
            </a:ext>
          </a:extLst>
        </xdr:cNvPr>
        <xdr:cNvSpPr txBox="1"/>
      </xdr:nvSpPr>
      <xdr:spPr>
        <a:xfrm>
          <a:off x="7688036" y="2340429"/>
          <a:ext cx="3388178" cy="7756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Average Defect Rate</a:t>
          </a:r>
        </a:p>
        <a:p>
          <a:pPr algn="ctr"/>
          <a:r>
            <a:rPr lang="en-IN" sz="2000" b="1"/>
            <a:t>2.29%</a:t>
          </a:r>
        </a:p>
      </xdr:txBody>
    </xdr:sp>
    <xdr:clientData/>
  </xdr:twoCellAnchor>
  <xdr:twoCellAnchor>
    <xdr:from>
      <xdr:col>18</xdr:col>
      <xdr:colOff>176893</xdr:colOff>
      <xdr:row>13</xdr:row>
      <xdr:rowOff>27214</xdr:rowOff>
    </xdr:from>
    <xdr:to>
      <xdr:col>23</xdr:col>
      <xdr:colOff>557893</xdr:colOff>
      <xdr:row>17</xdr:row>
      <xdr:rowOff>108857</xdr:rowOff>
    </xdr:to>
    <xdr:sp macro="" textlink="">
      <xdr:nvSpPr>
        <xdr:cNvPr id="18" name="TextBox 17">
          <a:extLst>
            <a:ext uri="{FF2B5EF4-FFF2-40B4-BE49-F238E27FC236}">
              <a16:creationId xmlns:a16="http://schemas.microsoft.com/office/drawing/2014/main" id="{3AC92068-3814-52A7-C56E-D789EAEEAC59}"/>
            </a:ext>
          </a:extLst>
        </xdr:cNvPr>
        <xdr:cNvSpPr txBox="1"/>
      </xdr:nvSpPr>
      <xdr:spPr>
        <a:xfrm>
          <a:off x="11198679" y="2326821"/>
          <a:ext cx="3442607" cy="7892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Total Supplier</a:t>
          </a:r>
        </a:p>
        <a:p>
          <a:pPr algn="ctr"/>
          <a:r>
            <a:rPr lang="en-IN" sz="2000" b="1"/>
            <a:t>5</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ssa" refreshedDate="46259.94129328704" createdVersion="8" refreshedVersion="8" minRefreshableVersion="3" recordCount="100" xr:uid="{97CACB1E-F6C4-459B-96A3-29FCFA237DC6}">
  <cacheSource type="worksheet">
    <worksheetSource ref="A1:AE101" sheet="Data_Cleaning"/>
  </cacheSource>
  <cacheFields count="31">
    <cacheField name="Product type" numFmtId="0">
      <sharedItems count="3">
        <s v="haircare"/>
        <s v="skincare"/>
        <s v="cosmetics"/>
      </sharedItems>
    </cacheField>
    <cacheField name="SKU" numFmtId="0">
      <sharedItems count="100">
        <s v="SKU0"/>
        <s v="SKU1"/>
        <s v="SKU2"/>
        <s v="SKU3"/>
        <s v="SKU4"/>
        <s v="SKU5"/>
        <s v="SKU6"/>
        <s v="SKU7"/>
        <s v="SKU8"/>
        <s v="SKU9"/>
        <s v="SKU10"/>
        <s v="SKU11"/>
        <s v="SKU12"/>
        <s v="SKU13"/>
        <s v="SKU14"/>
        <s v="SKU15"/>
        <s v="SKU16"/>
        <s v="SKU17"/>
        <s v="SKU18"/>
        <s v="SKU19"/>
        <s v="SKU20"/>
        <s v="SKU21"/>
        <s v="SKU22"/>
        <s v="SKU23"/>
        <s v="SKU24"/>
        <s v="SKU25"/>
        <s v="SKU26"/>
        <s v="SKU27"/>
        <s v="SKU28"/>
        <s v="SKU29"/>
        <s v="SKU30"/>
        <s v="SKU31"/>
        <s v="SKU32"/>
        <s v="SKU33"/>
        <s v="SKU34"/>
        <s v="SKU35"/>
        <s v="SKU36"/>
        <s v="SKU37"/>
        <s v="SKU38"/>
        <s v="SKU39"/>
        <s v="SKU40"/>
        <s v="SKU41"/>
        <s v="SKU42"/>
        <s v="SKU43"/>
        <s v="SKU44"/>
        <s v="SKU45"/>
        <s v="SKU46"/>
        <s v="SKU47"/>
        <s v="SKU48"/>
        <s v="SKU49"/>
        <s v="SKU50"/>
        <s v="SKU51"/>
        <s v="SKU52"/>
        <s v="SKU53"/>
        <s v="SKU54"/>
        <s v="SKU55"/>
        <s v="SKU56"/>
        <s v="SKU57"/>
        <s v="SKU58"/>
        <s v="SKU59"/>
        <s v="SKU60"/>
        <s v="SKU61"/>
        <s v="SKU62"/>
        <s v="SKU63"/>
        <s v="SKU64"/>
        <s v="SKU65"/>
        <s v="SKU66"/>
        <s v="SKU67"/>
        <s v="SKU68"/>
        <s v="SKU69"/>
        <s v="SKU70"/>
        <s v="SKU71"/>
        <s v="SKU72"/>
        <s v="SKU73"/>
        <s v="SKU74"/>
        <s v="SKU75"/>
        <s v="SKU76"/>
        <s v="SKU77"/>
        <s v="SKU78"/>
        <s v="SKU79"/>
        <s v="SKU80"/>
        <s v="SKU81"/>
        <s v="SKU82"/>
        <s v="SKU83"/>
        <s v="SKU84"/>
        <s v="SKU85"/>
        <s v="SKU86"/>
        <s v="SKU87"/>
        <s v="SKU88"/>
        <s v="SKU89"/>
        <s v="SKU90"/>
        <s v="SKU91"/>
        <s v="SKU92"/>
        <s v="SKU93"/>
        <s v="SKU94"/>
        <s v="SKU95"/>
        <s v="SKU96"/>
        <s v="SKU97"/>
        <s v="SKU98"/>
        <s v="SKU99"/>
      </sharedItems>
    </cacheField>
    <cacheField name="Price" numFmtId="164">
      <sharedItems containsSemiMixedTypes="0" containsString="0" containsNumber="1" minValue="1.6999760138659377" maxValue="99.171328638624189"/>
    </cacheField>
    <cacheField name="Availability" numFmtId="1">
      <sharedItems containsSemiMixedTypes="0" containsString="0" containsNumber="1" containsInteger="1" minValue="1" maxValue="100"/>
    </cacheField>
    <cacheField name="Number_of_products sold" numFmtId="1">
      <sharedItems containsSemiMixedTypes="0" containsString="0" containsNumber="1" containsInteger="1" minValue="8" maxValue="996"/>
    </cacheField>
    <cacheField name="Revenue_generated " numFmtId="166">
      <sharedItems containsSemiMixedTypes="0" containsString="0" containsNumber="1" minValue="1061.618523013288" maxValue="9866.465457979697" count="100">
        <n v="8661.9967923923832"/>
        <n v="7460.9000654458487"/>
        <n v="9577.7496258687297"/>
        <n v="7766.8364256852328"/>
        <n v="2686.5051515674468"/>
        <n v="2828.3487459757589"/>
        <n v="7823.4765595317367"/>
        <n v="8496.1038130898378"/>
        <n v="7517.363210631127"/>
        <n v="4971.145987585558"/>
        <n v="2330.9658020919492"/>
        <n v="6099.944115581452"/>
        <n v="2873.7414460214413"/>
        <n v="4052.7384162378667"/>
        <n v="8653.5709264698016"/>
        <n v="5442.0867853976733"/>
        <n v="6453.7979681762854"/>
        <n v="2629.3964348452619"/>
        <n v="9364.6735050761727"/>
        <n v="2553.4955849912149"/>
        <n v="8128.0276968511916"/>
        <n v="7087.0526963574366"/>
        <n v="2390.8078665561734"/>
        <n v="8858.367571011484"/>
        <n v="9049.0778609398967"/>
        <n v="2174.777054350654"/>
        <n v="3716.4933258940368"/>
        <n v="2686.4572235759833"/>
        <n v="6117.3246150839923"/>
        <n v="8318.9031946171781"/>
        <n v="2766.3423668660889"/>
        <n v="9655.1351027193978"/>
        <n v="9571.5504873278187"/>
        <n v="5149.9983504080365"/>
        <n v="9061.7108955077238"/>
        <n v="6541.3293448024651"/>
        <n v="7573.4024578487333"/>
        <n v="2438.3399304700288"/>
        <n v="9692.3180402184316"/>
        <n v="1912.4656631007608"/>
        <n v="5724.9593504562654"/>
        <n v="5521.2052590109715"/>
        <n v="1839.6094258567639"/>
        <n v="5737.425599119023"/>
        <n v="7152.2860494355145"/>
        <n v="5267.9568075105208"/>
        <n v="2556.7673606335957"/>
        <n v="7089.4742499341864"/>
        <n v="7397.0710045871801"/>
        <n v="8001.6132065190022"/>
        <n v="5910.8853896688988"/>
        <n v="9866.465457979697"/>
        <n v="9435.7626089121295"/>
        <n v="8232.3348294258212"/>
        <n v="6088.0214799408586"/>
        <n v="2925.6751703038126"/>
        <n v="4767.020484344137"/>
        <n v="1605.8669003924058"/>
        <n v="2021.1498103371077"/>
        <n v="1061.618523013288"/>
        <n v="8864.0843495864356"/>
        <n v="6885.5893508962527"/>
        <n v="3899.7468337292244"/>
        <n v="4256.9491408502254"/>
        <n v="8458.7308783671779"/>
        <n v="8354.5796864819949"/>
        <n v="8367.721618020154"/>
        <n v="9473.7980325083372"/>
        <n v="3550.2184327809919"/>
        <n v="1752.3810874841247"/>
        <n v="7014.8879872033885"/>
        <n v="8180.3370854254426"/>
        <n v="2633.1219813122557"/>
        <n v="7910.8869161406856"/>
        <n v="5709.9452959692871"/>
        <n v="1889.073589779335"/>
        <n v="5328.3759842977579"/>
        <n v="2483.7601775427947"/>
        <n v="1292.4584179377562"/>
        <n v="7888.7232684270812"/>
        <n v="8651.6726829820655"/>
        <n v="4384.4134000458625"/>
        <n v="2943.3818676094515"/>
        <n v="2411.754632110491"/>
        <n v="2048.2900998487103"/>
        <n v="8684.6130592538575"/>
        <n v="1229.5910285649834"/>
        <n v="5133.8467010866916"/>
        <n v="9444.7420330629793"/>
        <n v="5924.682566853231"/>
        <n v="9592.6335702803117"/>
        <n v="1935.2067935075991"/>
        <n v="2100.1297546259366"/>
        <n v="4531.4021336919095"/>
        <n v="7888.3565466618729"/>
        <n v="7386.3639440486641"/>
        <n v="7698.4247656321168"/>
        <n v="4370.9165799845359"/>
        <n v="8525.9525596835265"/>
        <n v="9185.1858291817043"/>
      </sharedItems>
    </cacheField>
    <cacheField name="Customer_demographics" numFmtId="0">
      <sharedItems/>
    </cacheField>
    <cacheField name="Stock_levels" numFmtId="1">
      <sharedItems containsSemiMixedTypes="0" containsString="0" containsNumber="1" containsInteger="1" minValue="0" maxValue="100"/>
    </cacheField>
    <cacheField name="Lead_times" numFmtId="0">
      <sharedItems containsSemiMixedTypes="0" containsString="0" containsNumber="1" containsInteger="1" minValue="1" maxValue="30"/>
    </cacheField>
    <cacheField name="Order_quantities" numFmtId="1">
      <sharedItems containsSemiMixedTypes="0" containsString="0" containsNumber="1" containsInteger="1" minValue="1" maxValue="96"/>
    </cacheField>
    <cacheField name="Shipping_times" numFmtId="0">
      <sharedItems containsSemiMixedTypes="0" containsString="0" containsNumber="1" containsInteger="1" minValue="1" maxValue="10"/>
    </cacheField>
    <cacheField name="Shipping_carriers" numFmtId="0">
      <sharedItems/>
    </cacheField>
    <cacheField name="Shipping_costs" numFmtId="164">
      <sharedItems containsSemiMixedTypes="0" containsString="0" containsNumber="1" minValue="1.0134865660958963" maxValue="9.9298162452772587"/>
    </cacheField>
    <cacheField name="Supplier_name" numFmtId="0">
      <sharedItems count="5">
        <s v="Supplier 3"/>
        <s v="Supplier 1"/>
        <s v="Supplier 5"/>
        <s v="Supplier 4"/>
        <s v="Supplier 2"/>
      </sharedItems>
    </cacheField>
    <cacheField name="Location" numFmtId="0">
      <sharedItems count="5">
        <s v="Mumbai"/>
        <s v="Kolkata"/>
        <s v="Delhi"/>
        <s v="Bangalore"/>
        <s v="Chennai"/>
      </sharedItems>
    </cacheField>
    <cacheField name="Lead_time" numFmtId="1">
      <sharedItems containsSemiMixedTypes="0" containsString="0" containsNumber="1" containsInteger="1" minValue="1" maxValue="30"/>
    </cacheField>
    <cacheField name="Production_volumes" numFmtId="1">
      <sharedItems containsSemiMixedTypes="0" containsString="0" containsNumber="1" containsInteger="1" minValue="104" maxValue="985"/>
    </cacheField>
    <cacheField name="Manufacturing_lead_time" numFmtId="1">
      <sharedItems containsSemiMixedTypes="0" containsString="0" containsNumber="1" containsInteger="1" minValue="1" maxValue="30"/>
    </cacheField>
    <cacheField name="Manufacturing_costs" numFmtId="164">
      <sharedItems containsSemiMixedTypes="0" containsString="0" containsNumber="1" minValue="1.0850685695870688" maxValue="99.466108603599125"/>
    </cacheField>
    <cacheField name="Inspection results" numFmtId="0">
      <sharedItems count="3">
        <s v="Pending"/>
        <s v="Fail"/>
        <s v="Pass"/>
      </sharedItems>
    </cacheField>
    <cacheField name="Defect_rates" numFmtId="2">
      <sharedItems containsSemiMixedTypes="0" containsString="0" containsNumber="1" minValue="1.8607567631014899E-2" maxValue="4.9392552886209478"/>
    </cacheField>
    <cacheField name="Transportation modes" numFmtId="0">
      <sharedItems count="4">
        <s v="Road"/>
        <s v="Air"/>
        <s v="Rail"/>
        <s v="Sea"/>
      </sharedItems>
    </cacheField>
    <cacheField name="Routes" numFmtId="0">
      <sharedItems/>
    </cacheField>
    <cacheField name="Costs" numFmtId="164">
      <sharedItems containsSemiMixedTypes="0" containsString="0" containsNumber="1" minValue="103.91624796070495" maxValue="997.4134501331946"/>
    </cacheField>
    <cacheField name="Revenue per Unit" numFmtId="164">
      <sharedItems containsSemiMixedTypes="0" containsString="0" containsNumber="1" minValue="1.366235114099108" maxValue="1197.2187032335912"/>
    </cacheField>
    <cacheField name="Inventory_Status" numFmtId="0">
      <sharedItems/>
    </cacheField>
    <cacheField name="Lead_Time_Category" numFmtId="0">
      <sharedItems/>
    </cacheField>
    <cacheField name="Defect_Status" numFmtId="0">
      <sharedItems/>
    </cacheField>
    <cacheField name="Estimated_Manufacturing_Cost" numFmtId="164">
      <sharedItems containsSemiMixedTypes="0" containsString="0" containsNumber="1" minValue="334.53415485942463" maxValue="85036.201577505068"/>
    </cacheField>
    <cacheField name="Estimated_Shipping_Cost" numFmtId="164">
      <sharedItems containsSemiMixedTypes="0" containsString="0" containsNumber="1" minValue="5.2376546500374479" maxValue="812.76196647793199"/>
    </cacheField>
    <cacheField name="Estimated_Profit/Loss" numFmtId="164">
      <sharedItems containsSemiMixedTypes="0" containsString="0" containsNumber="1" minValue="-79734.380340757227" maxValue="7427.4247116840843"/>
    </cacheField>
  </cacheFields>
  <extLst>
    <ext xmlns:x14="http://schemas.microsoft.com/office/spreadsheetml/2009/9/main" uri="{725AE2AE-9491-48be-B2B4-4EB974FC3084}">
      <x14:pivotCacheDefinition pivotCacheId="19244928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n v="69.808005542115765"/>
    <n v="55"/>
    <n v="802"/>
    <x v="0"/>
    <s v="Non-binary"/>
    <n v="58"/>
    <n v="7"/>
    <n v="96"/>
    <n v="4"/>
    <s v="Carrier B"/>
    <n v="2.9565721394308069"/>
    <x v="0"/>
    <x v="0"/>
    <n v="29"/>
    <n v="215"/>
    <n v="29"/>
    <n v="46.279879240508322"/>
    <x v="0"/>
    <n v="0.22641036084992516"/>
    <x v="0"/>
    <s v="Route B"/>
    <n v="187.75207545920392"/>
    <n v="10.800494753606463"/>
    <s v="Medium Stock"/>
    <s v="Long"/>
    <s v="Low Defect"/>
    <n v="9950.1740367092898"/>
    <n v="283.83092538535743"/>
    <n v="-1572.008169702264"/>
  </r>
  <r>
    <x v="1"/>
    <x v="1"/>
    <n v="14.843523275084339"/>
    <n v="95"/>
    <n v="736"/>
    <x v="1"/>
    <s v="Female"/>
    <n v="53"/>
    <n v="30"/>
    <n v="37"/>
    <n v="2"/>
    <s v="Carrier A"/>
    <n v="9.7165747714313095"/>
    <x v="0"/>
    <x v="0"/>
    <n v="23"/>
    <n v="517"/>
    <n v="30"/>
    <n v="33.616768953730002"/>
    <x v="0"/>
    <n v="4.8540680263887062"/>
    <x v="0"/>
    <s v="Route B"/>
    <n v="503.06557914966919"/>
    <n v="10.137092480225338"/>
    <s v="Medium Stock"/>
    <s v="Long"/>
    <s v="High Defect"/>
    <n v="17379.869549078412"/>
    <n v="359.51326654295843"/>
    <n v="-10278.482750175523"/>
  </r>
  <r>
    <x v="0"/>
    <x v="2"/>
    <n v="11.319683293090566"/>
    <n v="34"/>
    <n v="8"/>
    <x v="2"/>
    <s v="Unknown"/>
    <n v="1"/>
    <n v="10"/>
    <n v="88"/>
    <n v="2"/>
    <s v="Carrier B"/>
    <n v="8.0544792617321548"/>
    <x v="1"/>
    <x v="0"/>
    <n v="12"/>
    <n v="971"/>
    <n v="27"/>
    <n v="30.688019348284204"/>
    <x v="0"/>
    <n v="4.580592619199229"/>
    <x v="1"/>
    <s v="Route C"/>
    <n v="141.92028177151906"/>
    <n v="1197.2187032335912"/>
    <s v="Low Stock"/>
    <s v="Medium"/>
    <s v="High Defect"/>
    <n v="29798.066787183961"/>
    <n v="708.79417503242962"/>
    <n v="-20929.111336347658"/>
  </r>
  <r>
    <x v="1"/>
    <x v="3"/>
    <n v="61.163343016437736"/>
    <n v="68"/>
    <n v="83"/>
    <x v="3"/>
    <s v="Non-binary"/>
    <n v="23"/>
    <n v="13"/>
    <n v="59"/>
    <n v="6"/>
    <s v="Carrier C"/>
    <n v="1.7295685635434288"/>
    <x v="2"/>
    <x v="1"/>
    <n v="24"/>
    <n v="937"/>
    <n v="18"/>
    <n v="35.624741397125028"/>
    <x v="1"/>
    <n v="4.7466486206477496"/>
    <x v="2"/>
    <s v="Route A"/>
    <n v="254.77615921928663"/>
    <n v="93.576342478135331"/>
    <s v="Low Stock"/>
    <s v="Long"/>
    <s v="High Defect"/>
    <n v="33380.382689106154"/>
    <n v="102.0445452490623"/>
    <n v="-25715.590808669986"/>
  </r>
  <r>
    <x v="1"/>
    <x v="4"/>
    <n v="4.8054960363458932"/>
    <n v="26"/>
    <n v="871"/>
    <x v="4"/>
    <s v="Non-binary"/>
    <n v="5"/>
    <n v="3"/>
    <n v="56"/>
    <n v="8"/>
    <s v="Carrier A"/>
    <n v="3.8905479158706715"/>
    <x v="1"/>
    <x v="2"/>
    <n v="5"/>
    <n v="414"/>
    <n v="3"/>
    <n v="92.065160598712851"/>
    <x v="1"/>
    <n v="3.1455795228330019"/>
    <x v="1"/>
    <s v="Route A"/>
    <n v="923.44063171192215"/>
    <n v="3.0843916780338079"/>
    <s v="Low Stock"/>
    <s v="Short"/>
    <s v="Medium Defect"/>
    <n v="38114.976487867119"/>
    <n v="217.87068328875762"/>
    <n v="-35646.342019588425"/>
  </r>
  <r>
    <x v="0"/>
    <x v="5"/>
    <n v="1.6999760138659377"/>
    <n v="87"/>
    <n v="147"/>
    <x v="5"/>
    <s v="Non-binary"/>
    <n v="90"/>
    <n v="27"/>
    <n v="66"/>
    <n v="3"/>
    <s v="Carrier B"/>
    <n v="4.4440988643822932"/>
    <x v="3"/>
    <x v="3"/>
    <n v="10"/>
    <n v="104"/>
    <n v="17"/>
    <n v="56.766475557431797"/>
    <x v="1"/>
    <n v="2.7791935115711617"/>
    <x v="0"/>
    <s v="Route A"/>
    <n v="235.46123673553751"/>
    <n v="19.240467659699039"/>
    <s v="High Stock"/>
    <s v="Short"/>
    <s v="Medium Defect"/>
    <n v="5903.7134579729072"/>
    <n v="293.31052504923133"/>
    <n v="-3368.6752370463796"/>
  </r>
  <r>
    <x v="1"/>
    <x v="6"/>
    <n v="4.0783328631079447"/>
    <n v="48"/>
    <n v="65"/>
    <x v="6"/>
    <s v="Male"/>
    <n v="11"/>
    <n v="15"/>
    <n v="58"/>
    <n v="8"/>
    <s v="Carrier C"/>
    <n v="3.8807633029520034"/>
    <x v="0"/>
    <x v="1"/>
    <n v="14"/>
    <n v="314"/>
    <n v="24"/>
    <n v="1.0850685695870688"/>
    <x v="0"/>
    <n v="1.0009106193041357"/>
    <x v="3"/>
    <s v="Route A"/>
    <n v="134.36909686103172"/>
    <n v="120.3611778389498"/>
    <s v="Low Stock"/>
    <s v="Medium"/>
    <s v="Low Defect"/>
    <n v="340.71153085033961"/>
    <n v="225.08427157121619"/>
    <n v="7257.6807571101808"/>
  </r>
  <r>
    <x v="2"/>
    <x v="7"/>
    <n v="42.958384382460068"/>
    <n v="59"/>
    <n v="426"/>
    <x v="7"/>
    <s v="Female"/>
    <n v="93"/>
    <n v="17"/>
    <n v="11"/>
    <n v="1"/>
    <s v="Carrier B"/>
    <n v="2.3483387844177805"/>
    <x v="3"/>
    <x v="3"/>
    <n v="22"/>
    <n v="564"/>
    <n v="1"/>
    <n v="99.466108603599125"/>
    <x v="1"/>
    <n v="0.39817718685065062"/>
    <x v="0"/>
    <s v="Route C"/>
    <n v="802.05631181755859"/>
    <n v="19.943905664530135"/>
    <s v="High Stock"/>
    <s v="Long"/>
    <s v="Low Defect"/>
    <n v="56098.885252429907"/>
    <n v="25.831726628595586"/>
    <n v="-47628.613165968665"/>
  </r>
  <r>
    <x v="2"/>
    <x v="8"/>
    <n v="68.717596748527328"/>
    <n v="78"/>
    <n v="150"/>
    <x v="8"/>
    <s v="Female"/>
    <n v="5"/>
    <n v="10"/>
    <n v="15"/>
    <n v="7"/>
    <s v="Carrier C"/>
    <n v="3.4047338570830266"/>
    <x v="3"/>
    <x v="0"/>
    <n v="13"/>
    <n v="769"/>
    <n v="8"/>
    <n v="11.423027139565695"/>
    <x v="0"/>
    <n v="2.7098626911099615"/>
    <x v="3"/>
    <s v="Route B"/>
    <n v="505.55713422546415"/>
    <n v="50.115754737540847"/>
    <s v="Low Stock"/>
    <s v="Medium"/>
    <s v="Medium Defect"/>
    <n v="8784.3078703260198"/>
    <n v="51.071007856245402"/>
    <n v="-1318.0156675511382"/>
  </r>
  <r>
    <x v="1"/>
    <x v="9"/>
    <n v="64.015732941278543"/>
    <n v="35"/>
    <n v="980"/>
    <x v="9"/>
    <s v="Unknown"/>
    <n v="14"/>
    <n v="27"/>
    <n v="83"/>
    <n v="1"/>
    <s v="Carrier A"/>
    <n v="7.1666452910482157"/>
    <x v="4"/>
    <x v="4"/>
    <n v="29"/>
    <n v="963"/>
    <n v="23"/>
    <n v="47.95760163495158"/>
    <x v="0"/>
    <n v="3.8446144787675851"/>
    <x v="2"/>
    <s v="Route B"/>
    <n v="995.92946149864167"/>
    <n v="5.0725979465158755"/>
    <s v="Low Stock"/>
    <s v="Long"/>
    <s v="Medium Defect"/>
    <n v="46183.170374458372"/>
    <n v="594.83155915700195"/>
    <n v="-41806.855946029813"/>
  </r>
  <r>
    <x v="1"/>
    <x v="10"/>
    <n v="15.707795681912138"/>
    <n v="11"/>
    <n v="996"/>
    <x v="10"/>
    <s v="Non-binary"/>
    <n v="51"/>
    <n v="13"/>
    <n v="80"/>
    <n v="2"/>
    <s v="Carrier C"/>
    <n v="8.6732112112786126"/>
    <x v="2"/>
    <x v="1"/>
    <n v="18"/>
    <n v="830"/>
    <n v="5"/>
    <n v="96.52735278531091"/>
    <x v="2"/>
    <n v="1.7273139283559424"/>
    <x v="0"/>
    <s v="Route B"/>
    <n v="806.10317770292295"/>
    <n v="2.3403271105340857"/>
    <s v="Medium Stock"/>
    <s v="Medium"/>
    <s v="Low Defect"/>
    <n v="80117.702811808049"/>
    <n v="693.85689690228901"/>
    <n v="-78480.593906618393"/>
  </r>
  <r>
    <x v="1"/>
    <x v="11"/>
    <n v="90.635459982288666"/>
    <n v="95"/>
    <n v="960"/>
    <x v="11"/>
    <s v="Female"/>
    <n v="46"/>
    <n v="23"/>
    <n v="60"/>
    <n v="1"/>
    <s v="Carrier A"/>
    <n v="4.5239431243166628"/>
    <x v="4"/>
    <x v="1"/>
    <n v="28"/>
    <n v="362"/>
    <n v="11"/>
    <n v="27.592363086663696"/>
    <x v="0"/>
    <n v="2.1169821372994391E-2"/>
    <x v="1"/>
    <s v="Route A"/>
    <n v="126.72303340940725"/>
    <n v="6.3541084537306789"/>
    <s v="Medium Stock"/>
    <s v="Long"/>
    <s v="Low Defect"/>
    <n v="9988.4354373722581"/>
    <n v="271.43658745899978"/>
    <n v="-4159.9279092498055"/>
  </r>
  <r>
    <x v="0"/>
    <x v="12"/>
    <n v="71.213389075360084"/>
    <n v="41"/>
    <n v="336"/>
    <x v="12"/>
    <s v="Unknown"/>
    <n v="100"/>
    <n v="30"/>
    <n v="85"/>
    <n v="4"/>
    <s v="Carrier A"/>
    <n v="1.325274010184522"/>
    <x v="3"/>
    <x v="1"/>
    <n v="3"/>
    <n v="563"/>
    <n v="3"/>
    <n v="32.321286213424031"/>
    <x v="1"/>
    <n v="2.1612537475559117"/>
    <x v="0"/>
    <s v="Route B"/>
    <n v="402.96878907377061"/>
    <n v="8.5528019226828604"/>
    <s v="High Stock"/>
    <s v="Short"/>
    <s v="Medium Defect"/>
    <n v="18196.884138157729"/>
    <n v="112.64829086568437"/>
    <n v="-15435.790983001971"/>
  </r>
  <r>
    <x v="1"/>
    <x v="13"/>
    <n v="16.160393317379977"/>
    <n v="5"/>
    <n v="249"/>
    <x v="13"/>
    <s v="Male"/>
    <n v="80"/>
    <n v="8"/>
    <n v="48"/>
    <n v="9"/>
    <s v="Carrier A"/>
    <n v="9.5372830611083383"/>
    <x v="2"/>
    <x v="3"/>
    <n v="23"/>
    <n v="173"/>
    <n v="10"/>
    <n v="97.82905011017327"/>
    <x v="0"/>
    <n v="1.6310742300715386"/>
    <x v="0"/>
    <s v="Route B"/>
    <n v="547.24100516096848"/>
    <n v="16.276057896537615"/>
    <s v="High Stock"/>
    <s v="Long"/>
    <s v="Low Defect"/>
    <n v="16924.425669059976"/>
    <n v="457.78958693320021"/>
    <n v="-13329.476839755311"/>
  </r>
  <r>
    <x v="1"/>
    <x v="14"/>
    <n v="99.171328638624189"/>
    <n v="26"/>
    <n v="562"/>
    <x v="14"/>
    <s v="Non-binary"/>
    <n v="54"/>
    <n v="29"/>
    <n v="78"/>
    <n v="5"/>
    <s v="Carrier B"/>
    <n v="2.0397701894493316"/>
    <x v="1"/>
    <x v="1"/>
    <n v="25"/>
    <n v="558"/>
    <n v="14"/>
    <n v="5.7914366298629893"/>
    <x v="0"/>
    <n v="0.10068285156509371"/>
    <x v="1"/>
    <s v="Route B"/>
    <n v="929.23528996088965"/>
    <n v="15.397813036423134"/>
    <s v="Medium Stock"/>
    <s v="Long"/>
    <s v="Low Defect"/>
    <n v="3231.621639463548"/>
    <n v="159.10207477704787"/>
    <n v="5262.8472122292051"/>
  </r>
  <r>
    <x v="1"/>
    <x v="15"/>
    <n v="36.98924492862691"/>
    <n v="94"/>
    <n v="469"/>
    <x v="15"/>
    <s v="Non-binary"/>
    <n v="9"/>
    <n v="8"/>
    <n v="69"/>
    <n v="7"/>
    <s v="Carrier B"/>
    <n v="2.4220397232752044"/>
    <x v="1"/>
    <x v="3"/>
    <n v="14"/>
    <n v="580"/>
    <n v="7"/>
    <n v="97.121281751474314"/>
    <x v="2"/>
    <n v="2.2644057611985491"/>
    <x v="3"/>
    <s v="Route B"/>
    <n v="127.86180000162541"/>
    <n v="11.603596557351116"/>
    <s v="Low Stock"/>
    <s v="Medium"/>
    <s v="Medium Defect"/>
    <n v="56330.343415855103"/>
    <n v="167.12074090598909"/>
    <n v="-51055.377371363415"/>
  </r>
  <r>
    <x v="1"/>
    <x v="16"/>
    <n v="7.5471721097912718"/>
    <n v="74"/>
    <n v="280"/>
    <x v="16"/>
    <s v="Female"/>
    <n v="2"/>
    <n v="5"/>
    <n v="78"/>
    <n v="1"/>
    <s v="Carrier B"/>
    <n v="4.1913245857055017"/>
    <x v="1"/>
    <x v="3"/>
    <n v="3"/>
    <n v="399"/>
    <n v="21"/>
    <n v="77.106342497850008"/>
    <x v="2"/>
    <n v="1.0125630892580491"/>
    <x v="1"/>
    <s v="Route A"/>
    <n v="865.52577977124031"/>
    <n v="23.049278457772449"/>
    <s v="Low Stock"/>
    <s v="Short"/>
    <s v="Low Defect"/>
    <n v="30765.430656642155"/>
    <n v="326.92331768502913"/>
    <n v="-24638.556006150899"/>
  </r>
  <r>
    <x v="2"/>
    <x v="17"/>
    <n v="81.462534369237019"/>
    <n v="82"/>
    <n v="126"/>
    <x v="17"/>
    <s v="Female"/>
    <n v="45"/>
    <n v="17"/>
    <n v="85"/>
    <n v="9"/>
    <s v="Carrier C"/>
    <n v="3.5854189582323421"/>
    <x v="1"/>
    <x v="4"/>
    <n v="7"/>
    <n v="453"/>
    <n v="16"/>
    <n v="47.679680368355335"/>
    <x v="1"/>
    <n v="0.10202075491817619"/>
    <x v="1"/>
    <s v="Route C"/>
    <n v="670.93439079241034"/>
    <n v="20.868225673375093"/>
    <s v="Medium Stock"/>
    <s v="Short"/>
    <s v="Low Defect"/>
    <n v="21598.895206864967"/>
    <n v="304.76061144974909"/>
    <n v="-19274.259383469456"/>
  </r>
  <r>
    <x v="0"/>
    <x v="18"/>
    <n v="36.443627770460935"/>
    <n v="23"/>
    <n v="620"/>
    <x v="18"/>
    <s v="Unknown"/>
    <n v="10"/>
    <n v="10"/>
    <n v="46"/>
    <n v="8"/>
    <s v="Carrier C"/>
    <n v="4.339224714110709"/>
    <x v="4"/>
    <x v="1"/>
    <n v="18"/>
    <n v="374"/>
    <n v="17"/>
    <n v="27.10798085484392"/>
    <x v="0"/>
    <n v="2.2319391107292637"/>
    <x v="3"/>
    <s v="Route A"/>
    <n v="593.48025872065182"/>
    <n v="15.104312104961569"/>
    <s v="Low Stock"/>
    <s v="Medium"/>
    <s v="Medium Defect"/>
    <n v="10138.384839711625"/>
    <n v="199.60433684909262"/>
    <n v="-973.31567148454531"/>
  </r>
  <r>
    <x v="1"/>
    <x v="19"/>
    <n v="51.12387008796474"/>
    <n v="100"/>
    <n v="187"/>
    <x v="19"/>
    <s v="Unknown"/>
    <n v="48"/>
    <n v="11"/>
    <n v="94"/>
    <n v="3"/>
    <s v="Carrier A"/>
    <n v="4.7426358828418769"/>
    <x v="3"/>
    <x v="4"/>
    <n v="20"/>
    <n v="694"/>
    <n v="16"/>
    <n v="82.373320587990207"/>
    <x v="1"/>
    <n v="3.6464508654170293"/>
    <x v="0"/>
    <s v="Route C"/>
    <n v="477.30763109090344"/>
    <n v="13.655056604231095"/>
    <s v="Medium Stock"/>
    <s v="Medium"/>
    <s v="Medium Defect"/>
    <n v="57167.0844880652"/>
    <n v="445.80777298713645"/>
    <n v="-55059.396676061122"/>
  </r>
  <r>
    <x v="1"/>
    <x v="20"/>
    <n v="96.341072439963384"/>
    <n v="22"/>
    <n v="320"/>
    <x v="20"/>
    <s v="Unknown"/>
    <n v="27"/>
    <n v="12"/>
    <n v="68"/>
    <n v="6"/>
    <s v="Carrier A"/>
    <n v="8.8783346509268402"/>
    <x v="1"/>
    <x v="4"/>
    <n v="29"/>
    <n v="309"/>
    <n v="6"/>
    <n v="65.686259608488626"/>
    <x v="2"/>
    <n v="4.2314165735345393"/>
    <x v="1"/>
    <s v="Route B"/>
    <n v="493.87121531620585"/>
    <n v="25.400086552659975"/>
    <s v="Low Stock"/>
    <s v="Long"/>
    <s v="High Defect"/>
    <n v="20297.054219022986"/>
    <n v="603.72675626302509"/>
    <n v="-12772.75327843482"/>
  </r>
  <r>
    <x v="2"/>
    <x v="21"/>
    <n v="84.893868984950828"/>
    <n v="60"/>
    <n v="601"/>
    <x v="21"/>
    <s v="Unknown"/>
    <n v="69"/>
    <n v="25"/>
    <n v="7"/>
    <n v="6"/>
    <s v="Carrier B"/>
    <n v="6.0378837692182978"/>
    <x v="2"/>
    <x v="4"/>
    <n v="19"/>
    <n v="791"/>
    <n v="4"/>
    <n v="61.735728954160933"/>
    <x v="0"/>
    <n v="1.8607567631014899E-2"/>
    <x v="1"/>
    <s v="Route C"/>
    <n v="523.36091472015801"/>
    <n v="11.79210099227527"/>
    <s v="Medium Stock"/>
    <s v="Medium"/>
    <s v="Low Defect"/>
    <n v="48832.961602741299"/>
    <n v="42.265186384528086"/>
    <n v="-41788.174092768393"/>
  </r>
  <r>
    <x v="0"/>
    <x v="22"/>
    <n v="27.679780886501959"/>
    <n v="55"/>
    <n v="884"/>
    <x v="22"/>
    <s v="Unknown"/>
    <n v="71"/>
    <n v="1"/>
    <n v="63"/>
    <n v="10"/>
    <s v="Carrier A"/>
    <n v="9.5676489209230393"/>
    <x v="3"/>
    <x v="1"/>
    <n v="22"/>
    <n v="780"/>
    <n v="28"/>
    <n v="50.120839612977349"/>
    <x v="1"/>
    <n v="2.5912754732111161"/>
    <x v="2"/>
    <s v="Route C"/>
    <n v="205.57199582694707"/>
    <n v="2.7045337856970288"/>
    <s v="High Stock"/>
    <s v="Long"/>
    <s v="Medium Defect"/>
    <n v="39094.25489812233"/>
    <n v="602.76188201815148"/>
    <n v="-37306.208913584313"/>
  </r>
  <r>
    <x v="2"/>
    <x v="23"/>
    <n v="4.3243411858641636"/>
    <n v="30"/>
    <n v="391"/>
    <x v="23"/>
    <s v="Unknown"/>
    <n v="84"/>
    <n v="5"/>
    <n v="29"/>
    <n v="7"/>
    <s v="Carrier A"/>
    <n v="2.924857601145554"/>
    <x v="2"/>
    <x v="1"/>
    <n v="11"/>
    <n v="568"/>
    <n v="29"/>
    <n v="98.609957242703871"/>
    <x v="0"/>
    <n v="1.3422915627227339"/>
    <x v="2"/>
    <s v="Route A"/>
    <n v="196.32944611241268"/>
    <n v="22.655671537113768"/>
    <s v="High Stock"/>
    <s v="Medium"/>
    <s v="Low Defect"/>
    <n v="56010.455713855801"/>
    <n v="84.820870433221074"/>
    <n v="-47236.909013277538"/>
  </r>
  <r>
    <x v="0"/>
    <x v="24"/>
    <n v="4.1563083593111081"/>
    <n v="32"/>
    <n v="209"/>
    <x v="24"/>
    <s v="Male"/>
    <n v="4"/>
    <n v="26"/>
    <n v="2"/>
    <n v="8"/>
    <s v="Carrier C"/>
    <n v="9.7412916892843686"/>
    <x v="4"/>
    <x v="3"/>
    <n v="28"/>
    <n v="447"/>
    <n v="3"/>
    <n v="40.382359702924816"/>
    <x v="0"/>
    <n v="3.691310292628728"/>
    <x v="1"/>
    <s v="Route A"/>
    <n v="758.72477260293829"/>
    <n v="43.29702325808563"/>
    <s v="Low Stock"/>
    <s v="Long"/>
    <s v="Medium Defect"/>
    <n v="18050.914787207392"/>
    <n v="19.482583378568737"/>
    <n v="-9021.319509646064"/>
  </r>
  <r>
    <x v="0"/>
    <x v="25"/>
    <n v="39.629343985092625"/>
    <n v="73"/>
    <n v="142"/>
    <x v="25"/>
    <s v="Male"/>
    <n v="82"/>
    <n v="11"/>
    <n v="52"/>
    <n v="3"/>
    <s v="Carrier C"/>
    <n v="2.2310736812817278"/>
    <x v="3"/>
    <x v="1"/>
    <n v="19"/>
    <n v="934"/>
    <n v="23"/>
    <n v="78.280383118415386"/>
    <x v="0"/>
    <n v="3.7972312171141831"/>
    <x v="0"/>
    <s v="Route B"/>
    <n v="458.53594573920907"/>
    <n v="15.315331368666577"/>
    <s v="High Stock"/>
    <s v="Medium"/>
    <s v="Medium Defect"/>
    <n v="73113.877832599974"/>
    <n v="116.01583142664984"/>
    <n v="-71055.11660967597"/>
  </r>
  <r>
    <x v="0"/>
    <x v="26"/>
    <n v="97.44694661789282"/>
    <n v="9"/>
    <n v="353"/>
    <x v="26"/>
    <s v="Male"/>
    <n v="59"/>
    <n v="16"/>
    <n v="48"/>
    <n v="4"/>
    <s v="Carrier B"/>
    <n v="6.5075486210785511"/>
    <x v="4"/>
    <x v="3"/>
    <n v="26"/>
    <n v="171"/>
    <n v="4"/>
    <n v="15.972229757181761"/>
    <x v="2"/>
    <n v="2.1193197367249228"/>
    <x v="2"/>
    <s v="Route A"/>
    <n v="617.8669164583772"/>
    <n v="10.528309705082258"/>
    <s v="Medium Stock"/>
    <s v="Long"/>
    <s v="Medium Defect"/>
    <n v="2731.2512884780813"/>
    <n v="312.36233381177044"/>
    <n v="672.87970360418512"/>
  </r>
  <r>
    <x v="2"/>
    <x v="27"/>
    <n v="92.557360812402024"/>
    <n v="42"/>
    <n v="352"/>
    <x v="27"/>
    <s v="Unknown"/>
    <n v="47"/>
    <n v="9"/>
    <n v="62"/>
    <n v="8"/>
    <s v="Carrier C"/>
    <n v="7.406750952998074"/>
    <x v="2"/>
    <x v="0"/>
    <n v="25"/>
    <n v="291"/>
    <n v="4"/>
    <n v="10.528245070042162"/>
    <x v="1"/>
    <n v="2.8646678378833732"/>
    <x v="3"/>
    <s v="Route B"/>
    <n v="762.45918215568372"/>
    <n v="7.6319807487954074"/>
    <s v="Medium Stock"/>
    <s v="Long"/>
    <s v="Medium Defect"/>
    <n v="3063.7193153822691"/>
    <n v="459.2185590858806"/>
    <n v="-836.4806508921663"/>
  </r>
  <r>
    <x v="2"/>
    <x v="28"/>
    <n v="2.3972747055971411"/>
    <n v="12"/>
    <n v="394"/>
    <x v="28"/>
    <s v="Female"/>
    <n v="48"/>
    <n v="15"/>
    <n v="24"/>
    <n v="4"/>
    <s v="Carrier B"/>
    <n v="9.898140508069222"/>
    <x v="1"/>
    <x v="0"/>
    <n v="13"/>
    <n v="171"/>
    <n v="7"/>
    <n v="59.429381810691567"/>
    <x v="1"/>
    <n v="0.81575707929567198"/>
    <x v="1"/>
    <s v="Route A"/>
    <n v="123.43702751182708"/>
    <n v="15.526204606812163"/>
    <s v="Medium Stock"/>
    <s v="Medium"/>
    <s v="Low Defect"/>
    <n v="10162.424289628258"/>
    <n v="237.55537219366133"/>
    <n v="-4282.6550467379266"/>
  </r>
  <r>
    <x v="2"/>
    <x v="29"/>
    <n v="63.447559185207332"/>
    <n v="3"/>
    <n v="253"/>
    <x v="29"/>
    <s v="Female"/>
    <n v="45"/>
    <n v="5"/>
    <n v="67"/>
    <n v="7"/>
    <s v="Carrier B"/>
    <n v="8.1009731453970311"/>
    <x v="1"/>
    <x v="1"/>
    <n v="16"/>
    <n v="329"/>
    <n v="7"/>
    <n v="39.292875586065747"/>
    <x v="2"/>
    <n v="3.8780989365884881"/>
    <x v="0"/>
    <s v="Route B"/>
    <n v="764.93537594070813"/>
    <n v="32.881040294929555"/>
    <s v="Medium Stock"/>
    <s v="Medium"/>
    <s v="Medium Defect"/>
    <n v="12927.356067815632"/>
    <n v="542.76520074160112"/>
    <n v="-5151.2180739400546"/>
  </r>
  <r>
    <x v="0"/>
    <x v="30"/>
    <n v="8.0228592105263932"/>
    <n v="10"/>
    <n v="327"/>
    <x v="30"/>
    <s v="Male"/>
    <n v="60"/>
    <n v="26"/>
    <n v="35"/>
    <n v="7"/>
    <s v="Carrier B"/>
    <n v="8.9545283153180151"/>
    <x v="3"/>
    <x v="1"/>
    <n v="27"/>
    <n v="806"/>
    <n v="30"/>
    <n v="51.634893400109334"/>
    <x v="0"/>
    <n v="0.96539470535239313"/>
    <x v="0"/>
    <s v="Route C"/>
    <n v="880.08098824716103"/>
    <n v="8.4597625898045532"/>
    <s v="Medium Stock"/>
    <s v="Long"/>
    <s v="Low Defect"/>
    <n v="41617.724080488122"/>
    <n v="313.4084910361305"/>
    <n v="-39164.790204658158"/>
  </r>
  <r>
    <x v="1"/>
    <x v="31"/>
    <n v="50.847393051718697"/>
    <n v="28"/>
    <n v="168"/>
    <x v="31"/>
    <s v="Male"/>
    <n v="6"/>
    <n v="17"/>
    <n v="44"/>
    <n v="4"/>
    <s v="Carrier B"/>
    <n v="2.6796609649814065"/>
    <x v="0"/>
    <x v="4"/>
    <n v="24"/>
    <n v="461"/>
    <n v="8"/>
    <n v="60.25114566159808"/>
    <x v="0"/>
    <n v="2.9890000066550746"/>
    <x v="2"/>
    <s v="Route C"/>
    <n v="609.37920661842668"/>
    <n v="57.471042278091652"/>
    <s v="Low Stock"/>
    <s v="Long"/>
    <s v="Medium Defect"/>
    <n v="27775.778149996717"/>
    <n v="117.90508245918188"/>
    <n v="-18238.548129736504"/>
  </r>
  <r>
    <x v="1"/>
    <x v="32"/>
    <n v="79.209936015656723"/>
    <n v="43"/>
    <n v="781"/>
    <x v="32"/>
    <s v="Unknown"/>
    <n v="89"/>
    <n v="13"/>
    <n v="64"/>
    <n v="4"/>
    <s v="Carrier C"/>
    <n v="6.5991049012385838"/>
    <x v="0"/>
    <x v="1"/>
    <n v="30"/>
    <n v="737"/>
    <n v="7"/>
    <n v="29.692467153749774"/>
    <x v="2"/>
    <n v="1.9460361193861131"/>
    <x v="0"/>
    <s v="Route A"/>
    <n v="761.17390951487755"/>
    <n v="12.255506385823072"/>
    <s v="High Stock"/>
    <s v="Long"/>
    <s v="Low Defect"/>
    <n v="21883.348292313585"/>
    <n v="422.34271367926937"/>
    <n v="-12734.140518665035"/>
  </r>
  <r>
    <x v="2"/>
    <x v="33"/>
    <n v="64.795435000155607"/>
    <n v="63"/>
    <n v="616"/>
    <x v="33"/>
    <s v="Non-binary"/>
    <n v="4"/>
    <n v="17"/>
    <n v="95"/>
    <n v="9"/>
    <s v="Carrier C"/>
    <n v="4.85827050343664"/>
    <x v="2"/>
    <x v="4"/>
    <n v="1"/>
    <n v="251"/>
    <n v="23"/>
    <n v="23.853427512896133"/>
    <x v="1"/>
    <n v="3.5410460122509231"/>
    <x v="3"/>
    <s v="Route A"/>
    <n v="371.25529551987103"/>
    <n v="8.3603869324805782"/>
    <s v="Low Stock"/>
    <s v="Short"/>
    <s v="Medium Defect"/>
    <n v="5987.2103057369295"/>
    <n v="461.53569782648083"/>
    <n v="-1298.7476531553739"/>
  </r>
  <r>
    <x v="1"/>
    <x v="34"/>
    <n v="37.467592329842461"/>
    <n v="96"/>
    <n v="602"/>
    <x v="34"/>
    <s v="Unknown"/>
    <n v="1"/>
    <n v="26"/>
    <n v="21"/>
    <n v="7"/>
    <s v="Carrier A"/>
    <n v="1.0194875708221189"/>
    <x v="1"/>
    <x v="4"/>
    <n v="4"/>
    <n v="452"/>
    <n v="10"/>
    <n v="10.754272815029333"/>
    <x v="2"/>
    <n v="0.64660455937205485"/>
    <x v="0"/>
    <s v="Route B"/>
    <n v="510.3580004335235"/>
    <n v="15.05267590615901"/>
    <s v="Low Stock"/>
    <s v="Short"/>
    <s v="Low Defect"/>
    <n v="4860.9313123932588"/>
    <n v="21.409238987264498"/>
    <n v="4179.3703441272"/>
  </r>
  <r>
    <x v="2"/>
    <x v="35"/>
    <n v="84.957786816350435"/>
    <n v="11"/>
    <n v="449"/>
    <x v="35"/>
    <s v="Female"/>
    <n v="42"/>
    <n v="27"/>
    <n v="85"/>
    <n v="8"/>
    <s v="Carrier C"/>
    <n v="5.2881899903274094"/>
    <x v="1"/>
    <x v="2"/>
    <n v="3"/>
    <n v="367"/>
    <n v="2"/>
    <n v="58.004787044743765"/>
    <x v="2"/>
    <n v="0.54115409806058112"/>
    <x v="3"/>
    <s v="Route C"/>
    <n v="553.42047123035582"/>
    <n v="14.568662237867406"/>
    <s v="Medium Stock"/>
    <s v="Short"/>
    <s v="Low Defect"/>
    <n v="21287.756845420961"/>
    <n v="449.49614917782981"/>
    <n v="-15195.923649796327"/>
  </r>
  <r>
    <x v="1"/>
    <x v="36"/>
    <n v="9.8130025787540518"/>
    <n v="34"/>
    <n v="963"/>
    <x v="36"/>
    <s v="Female"/>
    <n v="18"/>
    <n v="23"/>
    <n v="28"/>
    <n v="3"/>
    <s v="Carrier B"/>
    <n v="2.107951267159081"/>
    <x v="4"/>
    <x v="2"/>
    <n v="26"/>
    <n v="671"/>
    <n v="19"/>
    <n v="45.531364237162144"/>
    <x v="1"/>
    <n v="3.8055333792433537"/>
    <x v="1"/>
    <s v="Route C"/>
    <n v="403.8089742481805"/>
    <n v="7.8643846914317068"/>
    <s v="Low Stock"/>
    <s v="Long"/>
    <s v="Medium Defect"/>
    <n v="30551.545403135799"/>
    <n v="59.022635480454269"/>
    <n v="-23037.16558076752"/>
  </r>
  <r>
    <x v="1"/>
    <x v="37"/>
    <n v="23.399844752614349"/>
    <n v="5"/>
    <n v="963"/>
    <x v="37"/>
    <s v="Female"/>
    <n v="25"/>
    <n v="8"/>
    <n v="21"/>
    <n v="9"/>
    <s v="Carrier A"/>
    <n v="1.5326552735904306"/>
    <x v="0"/>
    <x v="1"/>
    <n v="24"/>
    <n v="867"/>
    <n v="15"/>
    <n v="34.343277465075381"/>
    <x v="0"/>
    <n v="2.6102880848481131"/>
    <x v="3"/>
    <s v="Route A"/>
    <n v="183.93296804359437"/>
    <n v="2.5320248499169562"/>
    <s v="Low Stock"/>
    <s v="Long"/>
    <s v="Medium Defect"/>
    <n v="29775.621562220356"/>
    <n v="32.185760745399044"/>
    <n v="-27369.467392495728"/>
  </r>
  <r>
    <x v="2"/>
    <x v="38"/>
    <n v="52.075930682707799"/>
    <n v="75"/>
    <n v="705"/>
    <x v="38"/>
    <s v="Non-binary"/>
    <n v="69"/>
    <n v="1"/>
    <n v="88"/>
    <n v="5"/>
    <s v="Carrier B"/>
    <n v="9.2359314372492278"/>
    <x v="2"/>
    <x v="0"/>
    <n v="10"/>
    <n v="841"/>
    <n v="12"/>
    <n v="5.9306936455283177"/>
    <x v="0"/>
    <n v="0.61332689916450744"/>
    <x v="1"/>
    <s v="Route B"/>
    <n v="339.67286994860615"/>
    <n v="13.747968851373662"/>
    <s v="Medium Stock"/>
    <s v="Short"/>
    <s v="Low Defect"/>
    <n v="4987.7133558893156"/>
    <n v="812.76196647793199"/>
    <n v="3891.8427178511838"/>
  </r>
  <r>
    <x v="1"/>
    <x v="39"/>
    <n v="19.127477265823256"/>
    <n v="26"/>
    <n v="176"/>
    <x v="39"/>
    <s v="Female"/>
    <n v="78"/>
    <n v="29"/>
    <n v="34"/>
    <n v="3"/>
    <s v="Carrier A"/>
    <n v="5.5625037788303837"/>
    <x v="4"/>
    <x v="1"/>
    <n v="30"/>
    <n v="791"/>
    <n v="6"/>
    <n v="9.0058074287816421"/>
    <x v="1"/>
    <n v="1.4519722039968159"/>
    <x v="1"/>
    <s v="Route B"/>
    <n v="653.67299455203317"/>
    <n v="10.866282176708868"/>
    <s v="High Stock"/>
    <s v="Long"/>
    <s v="Low Defect"/>
    <n v="7123.5936761662788"/>
    <n v="189.12512848023306"/>
    <n v="-5400.2531415457506"/>
  </r>
  <r>
    <x v="1"/>
    <x v="40"/>
    <n v="80.541424170940331"/>
    <n v="97"/>
    <n v="933"/>
    <x v="40"/>
    <s v="Female"/>
    <n v="90"/>
    <n v="20"/>
    <n v="39"/>
    <n v="8"/>
    <s v="Carrier C"/>
    <n v="7.2295951397364737"/>
    <x v="1"/>
    <x v="1"/>
    <n v="18"/>
    <n v="793"/>
    <n v="1"/>
    <n v="88.179407104217461"/>
    <x v="0"/>
    <n v="4.2132694305865659"/>
    <x v="0"/>
    <s v="Route A"/>
    <n v="529.80872398069187"/>
    <n v="6.1360764742296521"/>
    <s v="High Stock"/>
    <s v="Medium"/>
    <s v="High Defect"/>
    <n v="69926.269833644445"/>
    <n v="281.9542104497225"/>
    <n v="-64483.264693637902"/>
  </r>
  <r>
    <x v="1"/>
    <x v="41"/>
    <n v="99.113291615317166"/>
    <n v="35"/>
    <n v="556"/>
    <x v="41"/>
    <s v="Female"/>
    <n v="64"/>
    <n v="19"/>
    <n v="38"/>
    <n v="8"/>
    <s v="Carrier B"/>
    <n v="5.7732637437666536"/>
    <x v="3"/>
    <x v="4"/>
    <n v="18"/>
    <n v="892"/>
    <n v="7"/>
    <n v="95.332064548772493"/>
    <x v="1"/>
    <n v="4.530226239825963E-2"/>
    <x v="3"/>
    <s v="Route A"/>
    <n v="275.52437113130981"/>
    <n v="9.9302252859909554"/>
    <s v="Medium Stock"/>
    <s v="Medium"/>
    <s v="Low Defect"/>
    <n v="85036.201577505068"/>
    <n v="219.38402226313283"/>
    <n v="-79734.380340757227"/>
  </r>
  <r>
    <x v="1"/>
    <x v="42"/>
    <n v="46.529167614516773"/>
    <n v="98"/>
    <n v="155"/>
    <x v="42"/>
    <s v="Female"/>
    <n v="22"/>
    <n v="27"/>
    <n v="57"/>
    <n v="4"/>
    <s v="Carrier C"/>
    <n v="7.5262483268515084"/>
    <x v="2"/>
    <x v="3"/>
    <n v="26"/>
    <n v="179"/>
    <n v="7"/>
    <n v="96.422820639571867"/>
    <x v="1"/>
    <n v="4.9392552886209478"/>
    <x v="0"/>
    <s v="Route A"/>
    <n v="635.65712050199193"/>
    <n v="11.868447908753316"/>
    <s v="Low Stock"/>
    <s v="Long"/>
    <s v="High Defect"/>
    <n v="17259.684894483365"/>
    <n v="428.99615463053595"/>
    <n v="-15849.071623257138"/>
  </r>
  <r>
    <x v="0"/>
    <x v="43"/>
    <n v="11.743271776309239"/>
    <n v="6"/>
    <n v="598"/>
    <x v="43"/>
    <s v="Unknown"/>
    <n v="36"/>
    <n v="29"/>
    <n v="85"/>
    <n v="9"/>
    <s v="Carrier B"/>
    <n v="3.6940212683884543"/>
    <x v="2"/>
    <x v="0"/>
    <n v="1"/>
    <n v="206"/>
    <n v="23"/>
    <n v="26.27736595733241"/>
    <x v="0"/>
    <n v="0.37230476798509771"/>
    <x v="1"/>
    <s v="Route A"/>
    <n v="716.04411975934067"/>
    <n v="9.5943571891622454"/>
    <s v="Medium Stock"/>
    <s v="Short"/>
    <s v="Low Defect"/>
    <n v="5413.1373872104768"/>
    <n v="313.99180781301862"/>
    <n v="10.296404095527521"/>
  </r>
  <r>
    <x v="2"/>
    <x v="44"/>
    <n v="51.35579091311039"/>
    <n v="34"/>
    <n v="919"/>
    <x v="44"/>
    <s v="Female"/>
    <n v="13"/>
    <n v="19"/>
    <n v="72"/>
    <n v="6"/>
    <s v="Carrier C"/>
    <n v="7.5774496573766932"/>
    <x v="4"/>
    <x v="2"/>
    <n v="7"/>
    <n v="834"/>
    <n v="18"/>
    <n v="22.554106620887744"/>
    <x v="1"/>
    <n v="2.9626263204548819"/>
    <x v="2"/>
    <s v="Route A"/>
    <n v="610.45326961922774"/>
    <n v="7.7826834052617135"/>
    <s v="Low Stock"/>
    <s v="Short"/>
    <s v="Medium Defect"/>
    <n v="18810.124921820377"/>
    <n v="545.57637533112188"/>
    <n v="-12203.415247715984"/>
  </r>
  <r>
    <x v="0"/>
    <x v="45"/>
    <n v="33.78413803306551"/>
    <n v="1"/>
    <n v="24"/>
    <x v="45"/>
    <s v="Male"/>
    <n v="93"/>
    <n v="7"/>
    <n v="52"/>
    <n v="6"/>
    <s v="Carrier B"/>
    <n v="5.2151550087119096"/>
    <x v="4"/>
    <x v="4"/>
    <n v="25"/>
    <n v="794"/>
    <n v="25"/>
    <n v="66.312544439991655"/>
    <x v="2"/>
    <n v="3.219604612084106"/>
    <x v="2"/>
    <s v="Route A"/>
    <n v="495.30569702847396"/>
    <n v="219.49820031293837"/>
    <s v="High Stock"/>
    <s v="Long"/>
    <s v="Medium Defect"/>
    <n v="52652.160285353377"/>
    <n v="271.18806045301932"/>
    <n v="-47655.391538295873"/>
  </r>
  <r>
    <x v="0"/>
    <x v="46"/>
    <n v="27.082207199888899"/>
    <n v="75"/>
    <n v="859"/>
    <x v="46"/>
    <s v="Non-binary"/>
    <n v="92"/>
    <n v="29"/>
    <n v="6"/>
    <n v="8"/>
    <s v="Carrier B"/>
    <n v="4.0709558370840826"/>
    <x v="0"/>
    <x v="4"/>
    <n v="18"/>
    <n v="870"/>
    <n v="23"/>
    <n v="77.32235321105162"/>
    <x v="0"/>
    <n v="3.6486105925362033"/>
    <x v="0"/>
    <s v="Route B"/>
    <n v="380.43593711196428"/>
    <n v="2.976446287117108"/>
    <s v="High Stock"/>
    <s v="Medium"/>
    <s v="Medium Defect"/>
    <n v="67270.44729361491"/>
    <n v="24.425735022504497"/>
    <n v="-64738.105668003816"/>
  </r>
  <r>
    <x v="1"/>
    <x v="47"/>
    <n v="95.712135880936088"/>
    <n v="93"/>
    <n v="910"/>
    <x v="47"/>
    <s v="Male"/>
    <n v="4"/>
    <n v="15"/>
    <n v="51"/>
    <n v="9"/>
    <s v="Carrier B"/>
    <n v="8.9787507559499709"/>
    <x v="1"/>
    <x v="1"/>
    <n v="10"/>
    <n v="964"/>
    <n v="20"/>
    <n v="19.712992911293647"/>
    <x v="0"/>
    <n v="0.38057358671321373"/>
    <x v="2"/>
    <s v="Route A"/>
    <n v="581.60235505058677"/>
    <n v="7.790631043883721"/>
    <s v="Low Stock"/>
    <s v="Short"/>
    <s v="Low Defect"/>
    <n v="19003.325166487077"/>
    <n v="457.91628855344851"/>
    <n v="-12371.767205106338"/>
  </r>
  <r>
    <x v="0"/>
    <x v="48"/>
    <n v="76.035544426891718"/>
    <n v="28"/>
    <n v="29"/>
    <x v="48"/>
    <s v="Non-binary"/>
    <n v="30"/>
    <n v="16"/>
    <n v="9"/>
    <n v="3"/>
    <s v="Carrier C"/>
    <n v="7.0958331565551385"/>
    <x v="4"/>
    <x v="0"/>
    <n v="9"/>
    <n v="109"/>
    <n v="18"/>
    <n v="23.126363582464776"/>
    <x v="1"/>
    <n v="1.6981125407144038"/>
    <x v="2"/>
    <s v="Route B"/>
    <n v="768.65191395437"/>
    <n v="255.07141395128207"/>
    <s v="Medium Stock"/>
    <s v="Short"/>
    <s v="Low Defect"/>
    <n v="2520.7736304886607"/>
    <n v="63.862498408996245"/>
    <n v="4812.4348756895233"/>
  </r>
  <r>
    <x v="2"/>
    <x v="49"/>
    <n v="78.897913205640037"/>
    <n v="19"/>
    <n v="99"/>
    <x v="49"/>
    <s v="Unknown"/>
    <n v="97"/>
    <n v="24"/>
    <n v="9"/>
    <n v="6"/>
    <s v="Carrier C"/>
    <n v="2.5056210329009154"/>
    <x v="2"/>
    <x v="2"/>
    <n v="28"/>
    <n v="177"/>
    <n v="28"/>
    <n v="14.147815443979217"/>
    <x v="2"/>
    <n v="2.8258139854001318"/>
    <x v="2"/>
    <s v="Route A"/>
    <n v="336.89016851997792"/>
    <n v="80.824375823424262"/>
    <s v="High Stock"/>
    <s v="Long"/>
    <s v="Medium Defect"/>
    <n v="2504.1633335843217"/>
    <n v="22.550589296108239"/>
    <n v="5474.8992836385723"/>
  </r>
  <r>
    <x v="2"/>
    <x v="50"/>
    <n v="14.203484264803022"/>
    <n v="91"/>
    <n v="633"/>
    <x v="50"/>
    <s v="Female"/>
    <n v="31"/>
    <n v="23"/>
    <n v="82"/>
    <n v="10"/>
    <s v="Carrier A"/>
    <n v="6.2478609149759912"/>
    <x v="4"/>
    <x v="2"/>
    <n v="20"/>
    <n v="306"/>
    <n v="21"/>
    <n v="45.178757924634517"/>
    <x v="1"/>
    <n v="4.7548008046711852"/>
    <x v="2"/>
    <s v="Route B"/>
    <n v="496.24865029194046"/>
    <n v="9.3378916108513401"/>
    <s v="Medium Stock"/>
    <s v="Medium"/>
    <s v="High Defect"/>
    <n v="13824.699924938162"/>
    <n v="512.32459502803124"/>
    <n v="-8426.1391302972952"/>
  </r>
  <r>
    <x v="0"/>
    <x v="51"/>
    <n v="26.70076097246173"/>
    <n v="61"/>
    <n v="154"/>
    <x v="51"/>
    <s v="Male"/>
    <n v="100"/>
    <n v="4"/>
    <n v="52"/>
    <n v="1"/>
    <s v="Carrier A"/>
    <n v="4.7830005579476653"/>
    <x v="2"/>
    <x v="3"/>
    <n v="18"/>
    <n v="673"/>
    <n v="28"/>
    <n v="14.190328344569981"/>
    <x v="0"/>
    <n v="1.7729511720835571"/>
    <x v="0"/>
    <s v="Route A"/>
    <n v="694.98231757944586"/>
    <n v="64.067957519348681"/>
    <s v="High Stock"/>
    <s v="Medium"/>
    <s v="Low Defect"/>
    <n v="9550.0909758955968"/>
    <n v="248.71602901327859"/>
    <n v="67.65845307082165"/>
  </r>
  <r>
    <x v="1"/>
    <x v="52"/>
    <n v="98.031829656465078"/>
    <n v="1"/>
    <n v="820"/>
    <x v="52"/>
    <s v="Male"/>
    <n v="64"/>
    <n v="11"/>
    <n v="11"/>
    <n v="1"/>
    <s v="Carrier B"/>
    <n v="8.6310521797689468"/>
    <x v="1"/>
    <x v="0"/>
    <n v="10"/>
    <n v="727"/>
    <n v="27"/>
    <n v="9.1668491485971515"/>
    <x v="0"/>
    <n v="2.1224716191438247"/>
    <x v="1"/>
    <s v="Route C"/>
    <n v="602.89849883838338"/>
    <n v="11.507027571844061"/>
    <s v="Medium Stock"/>
    <s v="Short"/>
    <s v="Medium Defect"/>
    <n v="6664.299331030129"/>
    <n v="94.941573977458418"/>
    <n v="2676.5217039045419"/>
  </r>
  <r>
    <x v="1"/>
    <x v="53"/>
    <n v="30.341470711214214"/>
    <n v="93"/>
    <n v="242"/>
    <x v="53"/>
    <s v="Male"/>
    <n v="96"/>
    <n v="25"/>
    <n v="54"/>
    <n v="3"/>
    <s v="Carrier B"/>
    <n v="1.0134865660958963"/>
    <x v="1"/>
    <x v="2"/>
    <n v="1"/>
    <n v="631"/>
    <n v="17"/>
    <n v="83.344058991677969"/>
    <x v="0"/>
    <n v="1.4103475760760271"/>
    <x v="1"/>
    <s v="Route B"/>
    <n v="750.73784066827091"/>
    <n v="34.017912518288519"/>
    <s v="High Stock"/>
    <s v="Short"/>
    <s v="Low Defect"/>
    <n v="52590.101223748796"/>
    <n v="54.728274569178396"/>
    <n v="-44412.494668892148"/>
  </r>
  <r>
    <x v="0"/>
    <x v="54"/>
    <n v="31.146243160240854"/>
    <n v="11"/>
    <n v="622"/>
    <x v="54"/>
    <s v="Non-binary"/>
    <n v="33"/>
    <n v="22"/>
    <n v="61"/>
    <n v="3"/>
    <s v="Carrier B"/>
    <n v="4.3051034712876355"/>
    <x v="1"/>
    <x v="1"/>
    <n v="26"/>
    <n v="497"/>
    <n v="29"/>
    <n v="30.186023375822508"/>
    <x v="2"/>
    <n v="2.4787719755397477"/>
    <x v="0"/>
    <s v="Route B"/>
    <n v="814.06999658218751"/>
    <n v="9.7878158841492908"/>
    <s v="Medium Stock"/>
    <s v="Long"/>
    <s v="Medium Defect"/>
    <n v="15002.453617783787"/>
    <n v="262.61131174854575"/>
    <n v="-9177.0434495914742"/>
  </r>
  <r>
    <x v="0"/>
    <x v="55"/>
    <n v="79.855058340789427"/>
    <n v="16"/>
    <n v="701"/>
    <x v="55"/>
    <s v="Male"/>
    <n v="97"/>
    <n v="11"/>
    <n v="11"/>
    <n v="5"/>
    <s v="Carrier A"/>
    <n v="5.0143649550309073"/>
    <x v="4"/>
    <x v="2"/>
    <n v="27"/>
    <n v="918"/>
    <n v="5"/>
    <n v="30.323545256616502"/>
    <x v="1"/>
    <n v="4.5489196593963852"/>
    <x v="3"/>
    <s v="Route B"/>
    <n v="323.01292795247883"/>
    <n v="4.1735737094205598"/>
    <s v="High Stock"/>
    <s v="Long"/>
    <s v="High Defect"/>
    <n v="27837.014545573948"/>
    <n v="55.158014505339978"/>
    <n v="-24966.497389775475"/>
  </r>
  <r>
    <x v="1"/>
    <x v="56"/>
    <n v="20.986386037043378"/>
    <n v="90"/>
    <n v="93"/>
    <x v="56"/>
    <s v="Non-binary"/>
    <n v="25"/>
    <n v="23"/>
    <n v="83"/>
    <n v="5"/>
    <s v="Carrier C"/>
    <n v="1.7744297140717396"/>
    <x v="1"/>
    <x v="0"/>
    <n v="24"/>
    <n v="826"/>
    <n v="28"/>
    <n v="12.836284572832753"/>
    <x v="2"/>
    <n v="1.1737554953874541"/>
    <x v="1"/>
    <s v="Route B"/>
    <n v="832.21080870602168"/>
    <n v="51.258284777893948"/>
    <s v="Low Stock"/>
    <s v="Long"/>
    <s v="Low Defect"/>
    <n v="10602.771057159855"/>
    <n v="147.27766626795437"/>
    <n v="-5983.0282390836719"/>
  </r>
  <r>
    <x v="0"/>
    <x v="57"/>
    <n v="49.263205350734154"/>
    <n v="65"/>
    <n v="227"/>
    <x v="57"/>
    <s v="Unknown"/>
    <n v="5"/>
    <n v="18"/>
    <n v="51"/>
    <n v="1"/>
    <s v="Carrier B"/>
    <n v="9.1605585353818704"/>
    <x v="4"/>
    <x v="2"/>
    <n v="21"/>
    <n v="588"/>
    <n v="25"/>
    <n v="67.779622987078142"/>
    <x v="0"/>
    <n v="2.511174830212707"/>
    <x v="2"/>
    <s v="Route A"/>
    <n v="482.19123860252813"/>
    <n v="7.0743035259577347"/>
    <s v="Low Stock"/>
    <s v="Long"/>
    <s v="Medium Defect"/>
    <n v="39854.418316401949"/>
    <n v="467.18848530447536"/>
    <n v="-38715.739901314017"/>
  </r>
  <r>
    <x v="1"/>
    <x v="58"/>
    <n v="59.84156137728931"/>
    <n v="81"/>
    <n v="896"/>
    <x v="58"/>
    <s v="Non-binary"/>
    <n v="10"/>
    <n v="5"/>
    <n v="44"/>
    <n v="7"/>
    <s v="Carrier A"/>
    <n v="4.9384385647120901"/>
    <x v="0"/>
    <x v="2"/>
    <n v="18"/>
    <n v="396"/>
    <n v="7"/>
    <n v="65.047415094691459"/>
    <x v="1"/>
    <n v="1.7303747198591968"/>
    <x v="0"/>
    <s v="Route B"/>
    <n v="110.36433523136472"/>
    <n v="2.2557475561798079"/>
    <s v="Low Stock"/>
    <s v="Medium"/>
    <s v="Low Defect"/>
    <n v="25758.776377497819"/>
    <n v="217.29129684733198"/>
    <n v="-23954.917864008043"/>
  </r>
  <r>
    <x v="2"/>
    <x v="59"/>
    <n v="63.828398347710966"/>
    <n v="30"/>
    <n v="484"/>
    <x v="59"/>
    <s v="Non-binary"/>
    <n v="100"/>
    <n v="16"/>
    <n v="26"/>
    <n v="7"/>
    <s v="Carrier B"/>
    <n v="7.2937225968677284"/>
    <x v="1"/>
    <x v="1"/>
    <n v="11"/>
    <n v="176"/>
    <n v="4"/>
    <n v="1.900762243519458"/>
    <x v="1"/>
    <n v="0.4471940154638232"/>
    <x v="1"/>
    <s v="Route A"/>
    <n v="312.57427361009331"/>
    <n v="2.1934267004406776"/>
    <s v="High Stock"/>
    <s v="Medium"/>
    <s v="Low Defect"/>
    <n v="334.53415485942463"/>
    <n v="189.63678751856094"/>
    <n v="537.44758063530242"/>
  </r>
  <r>
    <x v="1"/>
    <x v="60"/>
    <n v="17.028027920188702"/>
    <n v="16"/>
    <n v="380"/>
    <x v="60"/>
    <s v="Female"/>
    <n v="41"/>
    <n v="27"/>
    <n v="72"/>
    <n v="8"/>
    <s v="Carrier C"/>
    <n v="4.3813681581023145"/>
    <x v="3"/>
    <x v="0"/>
    <n v="29"/>
    <n v="929"/>
    <n v="24"/>
    <n v="87.213057815135684"/>
    <x v="1"/>
    <n v="2.8530906166490539"/>
    <x v="2"/>
    <s v="Route A"/>
    <n v="430.16909697513654"/>
    <n v="23.326537762069567"/>
    <s v="Medium Stock"/>
    <s v="Long"/>
    <s v="Medium Defect"/>
    <n v="81020.930710261047"/>
    <n v="315.45850738336662"/>
    <n v="-72472.304868057981"/>
  </r>
  <r>
    <x v="0"/>
    <x v="61"/>
    <n v="52.028749903294923"/>
    <n v="23"/>
    <n v="117"/>
    <x v="61"/>
    <s v="Unknown"/>
    <n v="32"/>
    <n v="23"/>
    <n v="36"/>
    <n v="7"/>
    <s v="Carrier C"/>
    <n v="9.0303404225219488"/>
    <x v="3"/>
    <x v="1"/>
    <n v="14"/>
    <n v="480"/>
    <n v="12"/>
    <n v="78.702393968878894"/>
    <x v="1"/>
    <n v="4.3674705382050529"/>
    <x v="1"/>
    <s v="Route A"/>
    <n v="164.36652824341942"/>
    <n v="58.851191033301305"/>
    <s v="Medium Stock"/>
    <s v="Medium"/>
    <s v="High Defect"/>
    <n v="37777.149105061872"/>
    <n v="325.09225521079014"/>
    <n v="-31216.652009376408"/>
  </r>
  <r>
    <x v="2"/>
    <x v="62"/>
    <n v="72.796353955587364"/>
    <n v="89"/>
    <n v="270"/>
    <x v="62"/>
    <s v="Unknown"/>
    <n v="86"/>
    <n v="2"/>
    <n v="40"/>
    <n v="7"/>
    <s v="Carrier C"/>
    <n v="7.2917013887767759"/>
    <x v="4"/>
    <x v="0"/>
    <n v="13"/>
    <n v="751"/>
    <n v="14"/>
    <n v="21.048642725168644"/>
    <x v="2"/>
    <n v="1.8740014040443747"/>
    <x v="3"/>
    <s v="Route C"/>
    <n v="320.84651575911158"/>
    <n v="14.443506791589719"/>
    <s v="High Stock"/>
    <s v="Medium"/>
    <s v="Low Defect"/>
    <n v="15807.530686601653"/>
    <n v="291.66805555107101"/>
    <n v="-12199.451908423498"/>
  </r>
  <r>
    <x v="1"/>
    <x v="63"/>
    <n v="13.017376785287857"/>
    <n v="55"/>
    <n v="246"/>
    <x v="63"/>
    <s v="Non-binary"/>
    <n v="54"/>
    <n v="19"/>
    <n v="10"/>
    <n v="4"/>
    <s v="Carrier A"/>
    <n v="2.45793352798733"/>
    <x v="0"/>
    <x v="3"/>
    <n v="18"/>
    <n v="736"/>
    <n v="10"/>
    <n v="20.075003975630484"/>
    <x v="0"/>
    <n v="3.6328432903821337"/>
    <x v="3"/>
    <s v="Route A"/>
    <n v="687.28617786641735"/>
    <n v="17.30467130426921"/>
    <s v="Medium Stock"/>
    <s v="Medium"/>
    <s v="Medium Defect"/>
    <n v="14775.202926064036"/>
    <n v="24.579335279873298"/>
    <n v="-10542.833120493684"/>
  </r>
  <r>
    <x v="1"/>
    <x v="64"/>
    <n v="89.634095608135326"/>
    <n v="11"/>
    <n v="134"/>
    <x v="64"/>
    <s v="Female"/>
    <n v="73"/>
    <n v="27"/>
    <n v="75"/>
    <n v="6"/>
    <s v="Carrier C"/>
    <n v="4.5853534681946524"/>
    <x v="1"/>
    <x v="2"/>
    <n v="17"/>
    <n v="328"/>
    <n v="6"/>
    <n v="8.6930424258772874"/>
    <x v="1"/>
    <n v="0.15948631471751462"/>
    <x v="1"/>
    <s v="Route C"/>
    <n v="771.22508468115745"/>
    <n v="63.124857301247594"/>
    <s v="High Stock"/>
    <s v="Medium"/>
    <s v="Low Defect"/>
    <n v="2851.3179156877504"/>
    <n v="343.90151011459892"/>
    <n v="5263.5114525648287"/>
  </r>
  <r>
    <x v="1"/>
    <x v="65"/>
    <n v="33.697717206643127"/>
    <n v="72"/>
    <n v="457"/>
    <x v="65"/>
    <s v="Male"/>
    <n v="57"/>
    <n v="24"/>
    <n v="54"/>
    <n v="8"/>
    <s v="Carrier C"/>
    <n v="6.5805413478845951"/>
    <x v="2"/>
    <x v="1"/>
    <n v="16"/>
    <n v="358"/>
    <n v="21"/>
    <n v="1.5972227430506774"/>
    <x v="1"/>
    <n v="4.911095954842331"/>
    <x v="2"/>
    <s v="Route C"/>
    <n v="555.85910367174347"/>
    <n v="18.28135598792559"/>
    <s v="Medium Stock"/>
    <s v="Medium"/>
    <s v="High Defect"/>
    <n v="571.80574201214245"/>
    <n v="355.34923278576815"/>
    <n v="7427.4247116840843"/>
  </r>
  <r>
    <x v="1"/>
    <x v="66"/>
    <n v="26.034869773962086"/>
    <n v="52"/>
    <n v="704"/>
    <x v="66"/>
    <s v="Female"/>
    <n v="13"/>
    <n v="17"/>
    <n v="19"/>
    <n v="8"/>
    <s v="Carrier A"/>
    <n v="2.2161427287713633"/>
    <x v="2"/>
    <x v="1"/>
    <n v="24"/>
    <n v="867"/>
    <n v="28"/>
    <n v="42.084436738309961"/>
    <x v="1"/>
    <n v="3.4480632883402618"/>
    <x v="0"/>
    <s v="Route A"/>
    <n v="393.84334857842788"/>
    <n v="11.885968207414992"/>
    <s v="Low Stock"/>
    <s v="Long"/>
    <s v="Medium Defect"/>
    <n v="36487.206652114735"/>
    <n v="42.106711846655905"/>
    <n v="-28161.591745941238"/>
  </r>
  <r>
    <x v="1"/>
    <x v="67"/>
    <n v="87.755432354001073"/>
    <n v="16"/>
    <n v="513"/>
    <x v="67"/>
    <s v="Unknown"/>
    <n v="12"/>
    <n v="9"/>
    <n v="71"/>
    <n v="9"/>
    <s v="Carrier C"/>
    <n v="9.147811544710633"/>
    <x v="1"/>
    <x v="0"/>
    <n v="10"/>
    <n v="198"/>
    <n v="11"/>
    <n v="7.0578761469782307"/>
    <x v="2"/>
    <n v="0.13195544431181483"/>
    <x v="3"/>
    <s v="Route C"/>
    <n v="169.2718013847869"/>
    <n v="18.467442558495783"/>
    <s v="Low Stock"/>
    <s v="Short"/>
    <s v="Low Defect"/>
    <n v="1397.4594771016896"/>
    <n v="649.49461967445495"/>
    <n v="7426.8439357321931"/>
  </r>
  <r>
    <x v="0"/>
    <x v="68"/>
    <n v="37.931812382790319"/>
    <n v="29"/>
    <n v="163"/>
    <x v="68"/>
    <s v="Non-binary"/>
    <n v="0"/>
    <n v="8"/>
    <n v="58"/>
    <n v="8"/>
    <s v="Carrier B"/>
    <n v="1.1942518648849991"/>
    <x v="4"/>
    <x v="3"/>
    <n v="2"/>
    <n v="375"/>
    <n v="18"/>
    <n v="97.113581563462205"/>
    <x v="1"/>
    <n v="1.9834678721741801"/>
    <x v="2"/>
    <s v="Route A"/>
    <n v="299.70630311810316"/>
    <n v="21.780481182705472"/>
    <s v="Low Stock"/>
    <s v="Short"/>
    <s v="Low Defect"/>
    <n v="36417.59308629833"/>
    <n v="69.266608163329948"/>
    <n v="-32936.64126168067"/>
  </r>
  <r>
    <x v="1"/>
    <x v="69"/>
    <n v="54.865528517069791"/>
    <n v="62"/>
    <n v="511"/>
    <x v="69"/>
    <s v="Non-binary"/>
    <n v="95"/>
    <n v="1"/>
    <n v="27"/>
    <n v="3"/>
    <s v="Carrier B"/>
    <n v="9.7052867901203488"/>
    <x v="3"/>
    <x v="1"/>
    <n v="9"/>
    <n v="862"/>
    <n v="7"/>
    <n v="77.627765812748166"/>
    <x v="0"/>
    <n v="1.3623879886491086"/>
    <x v="1"/>
    <s v="Route A"/>
    <n v="207.66320620857562"/>
    <n v="3.4293171966421228"/>
    <s v="High Stock"/>
    <s v="Short"/>
    <s v="Low Defect"/>
    <n v="66915.134130588922"/>
    <n v="262.0427433332494"/>
    <n v="-65424.795786438051"/>
  </r>
  <r>
    <x v="0"/>
    <x v="70"/>
    <n v="47.914541824058766"/>
    <n v="90"/>
    <n v="32"/>
    <x v="70"/>
    <s v="Female"/>
    <n v="10"/>
    <n v="12"/>
    <n v="22"/>
    <n v="4"/>
    <s v="Carrier B"/>
    <n v="6.3157177546007226"/>
    <x v="1"/>
    <x v="3"/>
    <n v="22"/>
    <n v="775"/>
    <n v="16"/>
    <n v="11.440781823761265"/>
    <x v="2"/>
    <n v="1.8305755986122314"/>
    <x v="0"/>
    <s v="Route C"/>
    <n v="183.27289874871101"/>
    <n v="219.21524960010589"/>
    <s v="Low Stock"/>
    <s v="Long"/>
    <s v="Low Defect"/>
    <n v="8866.60591341498"/>
    <n v="138.94579060121589"/>
    <n v="-1990.6637168128073"/>
  </r>
  <r>
    <x v="2"/>
    <x v="71"/>
    <n v="6.3815331627479663"/>
    <n v="14"/>
    <n v="637"/>
    <x v="71"/>
    <s v="Female"/>
    <n v="76"/>
    <n v="2"/>
    <n v="26"/>
    <n v="6"/>
    <s v="Carrier A"/>
    <n v="9.2281903170525172"/>
    <x v="4"/>
    <x v="3"/>
    <n v="2"/>
    <n v="258"/>
    <n v="10"/>
    <n v="30.661677477859556"/>
    <x v="0"/>
    <n v="2.0787506078749689"/>
    <x v="0"/>
    <s v="Route A"/>
    <n v="405.16706788885585"/>
    <n v="12.84197344650776"/>
    <s v="High Stock"/>
    <s v="Short"/>
    <s v="Medium Defect"/>
    <n v="7910.7127892877652"/>
    <n v="239.93294824336544"/>
    <n v="29.691347894312003"/>
  </r>
  <r>
    <x v="2"/>
    <x v="72"/>
    <n v="90.204427520528071"/>
    <n v="88"/>
    <n v="478"/>
    <x v="72"/>
    <s v="Non-binary"/>
    <n v="57"/>
    <n v="29"/>
    <n v="77"/>
    <n v="9"/>
    <s v="Carrier A"/>
    <n v="6.5996141596895441"/>
    <x v="1"/>
    <x v="3"/>
    <n v="21"/>
    <n v="152"/>
    <n v="11"/>
    <n v="55.760492895244212"/>
    <x v="0"/>
    <n v="3.2133296074383089"/>
    <x v="2"/>
    <s v="Route B"/>
    <n v="677.9445698461833"/>
    <n v="5.5086233918666441"/>
    <s v="Medium Stock"/>
    <s v="Long"/>
    <s v="Medium Defect"/>
    <n v="8475.5949200771211"/>
    <n v="508.17029029609489"/>
    <n v="-6350.6432290609609"/>
  </r>
  <r>
    <x v="2"/>
    <x v="73"/>
    <n v="83.851017681304597"/>
    <n v="41"/>
    <n v="375"/>
    <x v="73"/>
    <s v="Male"/>
    <n v="17"/>
    <n v="25"/>
    <n v="66"/>
    <n v="5"/>
    <s v="Carrier B"/>
    <n v="1.5129368369160772"/>
    <x v="3"/>
    <x v="4"/>
    <n v="13"/>
    <n v="444"/>
    <n v="4"/>
    <n v="46.870238797617155"/>
    <x v="1"/>
    <n v="4.6205460645137064"/>
    <x v="0"/>
    <s v="Route A"/>
    <n v="866.4728001296578"/>
    <n v="21.09569844304183"/>
    <s v="Low Stock"/>
    <s v="Medium"/>
    <s v="High Defect"/>
    <n v="20810.386026142016"/>
    <n v="99.85383123646109"/>
    <n v="-12999.352941237792"/>
  </r>
  <r>
    <x v="0"/>
    <x v="74"/>
    <n v="3.1700114135661548"/>
    <n v="64"/>
    <n v="904"/>
    <x v="74"/>
    <s v="Female"/>
    <n v="41"/>
    <n v="6"/>
    <n v="1"/>
    <n v="5"/>
    <s v="Carrier A"/>
    <n v="5.2376546500374479"/>
    <x v="3"/>
    <x v="2"/>
    <n v="1"/>
    <n v="919"/>
    <n v="9"/>
    <n v="80.580852156447818"/>
    <x v="1"/>
    <n v="0.39661272410993542"/>
    <x v="2"/>
    <s v="Route A"/>
    <n v="341.55265678322337"/>
    <n v="6.3163111681076183"/>
    <s v="Medium Stock"/>
    <s v="Short"/>
    <s v="Low Defect"/>
    <n v="74053.803131775552"/>
    <n v="5.2376546500374479"/>
    <n v="-68349.095490456297"/>
  </r>
  <r>
    <x v="1"/>
    <x v="75"/>
    <n v="92.996884233970661"/>
    <n v="29"/>
    <n v="106"/>
    <x v="75"/>
    <s v="Non-binary"/>
    <n v="16"/>
    <n v="20"/>
    <n v="56"/>
    <n v="10"/>
    <s v="Carrier C"/>
    <n v="2.4738977610454609"/>
    <x v="1"/>
    <x v="4"/>
    <n v="25"/>
    <n v="759"/>
    <n v="11"/>
    <n v="48.064782640006591"/>
    <x v="2"/>
    <n v="2.0300690886687516"/>
    <x v="1"/>
    <s v="Route C"/>
    <n v="873.12964801765145"/>
    <n v="17.821448960182405"/>
    <s v="Low Stock"/>
    <s v="Long"/>
    <s v="Medium Defect"/>
    <n v="36481.170023765"/>
    <n v="138.53827461854581"/>
    <n v="-34730.634708604208"/>
  </r>
  <r>
    <x v="0"/>
    <x v="76"/>
    <n v="69.108799547430323"/>
    <n v="23"/>
    <n v="241"/>
    <x v="76"/>
    <s v="Male"/>
    <n v="38"/>
    <n v="1"/>
    <n v="22"/>
    <n v="10"/>
    <s v="Carrier A"/>
    <n v="7.0545383368369263"/>
    <x v="4"/>
    <x v="3"/>
    <n v="25"/>
    <n v="985"/>
    <n v="24"/>
    <n v="64.323597795600222"/>
    <x v="0"/>
    <n v="2.1800374515822165"/>
    <x v="2"/>
    <s v="Route A"/>
    <n v="997.4134501331946"/>
    <n v="22.109443918247958"/>
    <s v="Medium Stock"/>
    <s v="Long"/>
    <s v="Medium Defect"/>
    <n v="63358.743828666222"/>
    <n v="155.19984341041237"/>
    <n v="-58185.567687778872"/>
  </r>
  <r>
    <x v="0"/>
    <x v="77"/>
    <n v="57.449742958971477"/>
    <n v="14"/>
    <n v="359"/>
    <x v="77"/>
    <s v="Unknown"/>
    <n v="96"/>
    <n v="28"/>
    <n v="57"/>
    <n v="4"/>
    <s v="Carrier B"/>
    <n v="6.7809466256178954"/>
    <x v="1"/>
    <x v="1"/>
    <n v="26"/>
    <n v="334"/>
    <n v="5"/>
    <n v="42.952444748991837"/>
    <x v="2"/>
    <n v="3.0551418183075478"/>
    <x v="0"/>
    <s v="Route B"/>
    <n v="852.56809891984994"/>
    <n v="6.918552026581601"/>
    <s v="High Stock"/>
    <s v="Long"/>
    <s v="Medium Defect"/>
    <n v="14346.116546163274"/>
    <n v="386.51395766022006"/>
    <n v="-12248.870326280699"/>
  </r>
  <r>
    <x v="0"/>
    <x v="78"/>
    <n v="6.3068831761119153"/>
    <n v="50"/>
    <n v="946"/>
    <x v="78"/>
    <s v="Unknown"/>
    <n v="5"/>
    <n v="4"/>
    <n v="51"/>
    <n v="5"/>
    <s v="Carrier B"/>
    <n v="8.4670497708619905"/>
    <x v="2"/>
    <x v="0"/>
    <n v="25"/>
    <n v="858"/>
    <n v="21"/>
    <n v="71.126514720403378"/>
    <x v="0"/>
    <n v="4.0968813324704518"/>
    <x v="3"/>
    <s v="Route C"/>
    <n v="323.59220343132216"/>
    <n v="1.366235114099108"/>
    <s v="Low Stock"/>
    <s v="Long"/>
    <s v="High Defect"/>
    <n v="61026.549630106099"/>
    <n v="431.81953831396152"/>
    <n v="-60165.910750482304"/>
  </r>
  <r>
    <x v="0"/>
    <x v="79"/>
    <n v="57.057031221103223"/>
    <n v="56"/>
    <n v="198"/>
    <x v="79"/>
    <s v="Non-binary"/>
    <n v="31"/>
    <n v="25"/>
    <n v="20"/>
    <n v="1"/>
    <s v="Carrier B"/>
    <n v="6.4963253642950445"/>
    <x v="0"/>
    <x v="3"/>
    <n v="5"/>
    <n v="228"/>
    <n v="12"/>
    <n v="57.87090292403628"/>
    <x v="0"/>
    <n v="0.16587162748060824"/>
    <x v="1"/>
    <s v="Route C"/>
    <n v="351.50421933503867"/>
    <n v="39.842036709227685"/>
    <s v="Medium Stock"/>
    <s v="Short"/>
    <s v="Low Defect"/>
    <n v="13194.565866680272"/>
    <n v="129.9265072859009"/>
    <n v="-5435.7691055390915"/>
  </r>
  <r>
    <x v="1"/>
    <x v="80"/>
    <n v="91.128318350444331"/>
    <n v="75"/>
    <n v="872"/>
    <x v="80"/>
    <s v="Unknown"/>
    <n v="39"/>
    <n v="14"/>
    <n v="41"/>
    <n v="2"/>
    <s v="Carrier C"/>
    <n v="2.8331846794189746"/>
    <x v="0"/>
    <x v="4"/>
    <n v="8"/>
    <n v="202"/>
    <n v="5"/>
    <n v="76.961228023820013"/>
    <x v="1"/>
    <n v="2.8496621985053308"/>
    <x v="3"/>
    <s v="Route B"/>
    <n v="787.77985049434449"/>
    <n v="9.9216429850711751"/>
    <s v="Medium Stock"/>
    <s v="Short"/>
    <s v="Medium Defect"/>
    <n v="15546.168060811642"/>
    <n v="116.16057185617795"/>
    <n v="-7010.6559496857544"/>
  </r>
  <r>
    <x v="0"/>
    <x v="81"/>
    <n v="72.819206930318217"/>
    <n v="9"/>
    <n v="774"/>
    <x v="81"/>
    <s v="Unknown"/>
    <n v="48"/>
    <n v="6"/>
    <n v="8"/>
    <n v="5"/>
    <s v="Carrier B"/>
    <n v="4.0662775015120438"/>
    <x v="0"/>
    <x v="2"/>
    <n v="28"/>
    <n v="698"/>
    <n v="1"/>
    <n v="19.789592941903603"/>
    <x v="0"/>
    <n v="2.5475471215487118"/>
    <x v="2"/>
    <s v="Route B"/>
    <n v="276.77833594679885"/>
    <n v="5.6646167959248874"/>
    <s v="Medium Stock"/>
    <s v="Long"/>
    <s v="Medium Defect"/>
    <n v="13813.135873448715"/>
    <n v="32.530220012096351"/>
    <n v="-9461.25269341495"/>
  </r>
  <r>
    <x v="1"/>
    <x v="82"/>
    <n v="17.034930739467917"/>
    <n v="13"/>
    <n v="336"/>
    <x v="82"/>
    <s v="Unknown"/>
    <n v="42"/>
    <n v="19"/>
    <n v="72"/>
    <n v="1"/>
    <s v="Carrier A"/>
    <n v="4.7081818735419301"/>
    <x v="4"/>
    <x v="0"/>
    <n v="6"/>
    <n v="955"/>
    <n v="26"/>
    <n v="4.4652784349432402"/>
    <x v="0"/>
    <n v="4.1378770486223573"/>
    <x v="0"/>
    <s v="Route C"/>
    <n v="589.97855562804068"/>
    <n v="8.7600650821709873"/>
    <s v="Medium Stock"/>
    <s v="Short"/>
    <s v="High Defect"/>
    <n v="4264.3409053707946"/>
    <n v="338.98909489501898"/>
    <n v="-1659.9481326563621"/>
  </r>
  <r>
    <x v="0"/>
    <x v="83"/>
    <n v="68.911246211606326"/>
    <n v="82"/>
    <n v="663"/>
    <x v="83"/>
    <s v="Unknown"/>
    <n v="65"/>
    <n v="24"/>
    <n v="7"/>
    <n v="8"/>
    <s v="Carrier B"/>
    <n v="4.9498395779969488"/>
    <x v="1"/>
    <x v="3"/>
    <n v="20"/>
    <n v="443"/>
    <n v="5"/>
    <n v="97.730593800533043"/>
    <x v="1"/>
    <n v="0.77300613406724783"/>
    <x v="0"/>
    <s v="Route A"/>
    <n v="682.97101822609329"/>
    <n v="3.6376389624592624"/>
    <s v="Medium Stock"/>
    <s v="Medium"/>
    <s v="Low Defect"/>
    <n v="43294.653053636139"/>
    <n v="34.648877045978644"/>
    <n v="-40917.547298571626"/>
  </r>
  <r>
    <x v="0"/>
    <x v="84"/>
    <n v="89.104367292102253"/>
    <n v="99"/>
    <n v="618"/>
    <x v="84"/>
    <s v="Unknown"/>
    <n v="73"/>
    <n v="26"/>
    <n v="80"/>
    <n v="10"/>
    <s v="Carrier A"/>
    <n v="8.381615624922631"/>
    <x v="2"/>
    <x v="4"/>
    <n v="24"/>
    <n v="589"/>
    <n v="22"/>
    <n v="33.808636513209095"/>
    <x v="2"/>
    <n v="4.8434565771180411"/>
    <x v="1"/>
    <s v="Route B"/>
    <n v="465.45700596368795"/>
    <n v="3.3143852748361007"/>
    <s v="High Stock"/>
    <s v="Long"/>
    <s v="High Defect"/>
    <n v="19913.286906280158"/>
    <n v="670.52924999381048"/>
    <n v="-18535.52605642526"/>
  </r>
  <r>
    <x v="2"/>
    <x v="85"/>
    <n v="76.962994415193876"/>
    <n v="83"/>
    <n v="25"/>
    <x v="85"/>
    <s v="Female"/>
    <n v="15"/>
    <n v="18"/>
    <n v="66"/>
    <n v="2"/>
    <s v="Carrier C"/>
    <n v="8.2491687048717282"/>
    <x v="2"/>
    <x v="4"/>
    <n v="4"/>
    <n v="211"/>
    <n v="2"/>
    <n v="69.929345518672307"/>
    <x v="1"/>
    <n v="1.3744289997457582"/>
    <x v="0"/>
    <s v="Route B"/>
    <n v="842.68683000464148"/>
    <n v="347.38452237015429"/>
    <s v="Low Stock"/>
    <s v="Short"/>
    <s v="Low Defect"/>
    <n v="14755.091904439856"/>
    <n v="544.4451345215341"/>
    <n v="-6614.9239797075325"/>
  </r>
  <r>
    <x v="1"/>
    <x v="86"/>
    <n v="19.998176940404221"/>
    <n v="18"/>
    <n v="223"/>
    <x v="86"/>
    <s v="Unknown"/>
    <n v="32"/>
    <n v="14"/>
    <n v="22"/>
    <n v="6"/>
    <s v="Carrier B"/>
    <n v="1.4543053101535515"/>
    <x v="1"/>
    <x v="0"/>
    <n v="4"/>
    <n v="569"/>
    <n v="18"/>
    <n v="74.608969995194684"/>
    <x v="2"/>
    <n v="2.0515129307662465"/>
    <x v="2"/>
    <s v="Route A"/>
    <n v="264.25488983586649"/>
    <n v="5.5138611146411813"/>
    <s v="Medium Stock"/>
    <s v="Short"/>
    <s v="Medium Defect"/>
    <n v="42452.503927265774"/>
    <n v="31.994716823378134"/>
    <n v="-41254.907615524171"/>
  </r>
  <r>
    <x v="0"/>
    <x v="87"/>
    <n v="80.41403665035574"/>
    <n v="24"/>
    <n v="79"/>
    <x v="87"/>
    <s v="Male"/>
    <n v="5"/>
    <n v="7"/>
    <n v="55"/>
    <n v="10"/>
    <s v="Carrier A"/>
    <n v="6.5758037975485353"/>
    <x v="0"/>
    <x v="4"/>
    <n v="27"/>
    <n v="523"/>
    <n v="17"/>
    <n v="28.69699682414317"/>
    <x v="1"/>
    <n v="3.6937377878392756"/>
    <x v="3"/>
    <s v="Route B"/>
    <n v="879.3592177349243"/>
    <n v="64.985401279578369"/>
    <s v="Low Stock"/>
    <s v="Long"/>
    <s v="Medium Defect"/>
    <n v="15008.529339026878"/>
    <n v="361.66920886516942"/>
    <n v="-10236.351846805355"/>
  </r>
  <r>
    <x v="2"/>
    <x v="88"/>
    <n v="75.27040697572501"/>
    <n v="58"/>
    <n v="737"/>
    <x v="88"/>
    <s v="Male"/>
    <n v="60"/>
    <n v="18"/>
    <n v="85"/>
    <n v="7"/>
    <s v="Carrier A"/>
    <n v="3.8012531329310777"/>
    <x v="4"/>
    <x v="0"/>
    <n v="21"/>
    <n v="953"/>
    <n v="11"/>
    <n v="68.184919057041171"/>
    <x v="0"/>
    <n v="0.722204401882931"/>
    <x v="3"/>
    <s v="Route A"/>
    <n v="103.91624796070495"/>
    <n v="12.815118090994545"/>
    <s v="Medium Stock"/>
    <s v="Long"/>
    <s v="Low Defect"/>
    <n v="64980.227861360239"/>
    <n v="323.10651629914162"/>
    <n v="-55858.5923445964"/>
  </r>
  <r>
    <x v="2"/>
    <x v="89"/>
    <n v="97.760085581938668"/>
    <n v="10"/>
    <n v="134"/>
    <x v="89"/>
    <s v="Unknown"/>
    <n v="90"/>
    <n v="1"/>
    <n v="27"/>
    <n v="8"/>
    <s v="Carrier B"/>
    <n v="9.9298162452772587"/>
    <x v="1"/>
    <x v="1"/>
    <n v="23"/>
    <n v="370"/>
    <n v="11"/>
    <n v="46.603873381644469"/>
    <x v="0"/>
    <n v="1.9076657339590746"/>
    <x v="2"/>
    <s v="Route B"/>
    <n v="517.4999739290605"/>
    <n v="44.214049006367397"/>
    <s v="High Stock"/>
    <s v="Long"/>
    <s v="Low Defect"/>
    <n v="17243.433151208454"/>
    <n v="268.10503862248601"/>
    <n v="-11586.855622977708"/>
  </r>
  <r>
    <x v="1"/>
    <x v="90"/>
    <n v="13.881913501359142"/>
    <n v="56"/>
    <n v="320"/>
    <x v="90"/>
    <s v="Non-binary"/>
    <n v="66"/>
    <n v="18"/>
    <n v="96"/>
    <n v="7"/>
    <s v="Carrier B"/>
    <n v="7.6744307081126939"/>
    <x v="0"/>
    <x v="3"/>
    <n v="8"/>
    <n v="585"/>
    <n v="8"/>
    <n v="85.675963335797974"/>
    <x v="2"/>
    <n v="1.2193822244013885"/>
    <x v="2"/>
    <s v="Route B"/>
    <n v="990.07847250581119"/>
    <n v="29.976979907125973"/>
    <s v="Medium Stock"/>
    <s v="Short"/>
    <s v="Low Defect"/>
    <n v="50120.438551441817"/>
    <n v="736.74534797881859"/>
    <n v="-41264.550329140322"/>
  </r>
  <r>
    <x v="2"/>
    <x v="91"/>
    <n v="62.111965463961788"/>
    <n v="90"/>
    <n v="916"/>
    <x v="91"/>
    <s v="Male"/>
    <n v="98"/>
    <n v="22"/>
    <n v="85"/>
    <n v="7"/>
    <s v="Carrier B"/>
    <n v="7.4715140844011456"/>
    <x v="3"/>
    <x v="2"/>
    <n v="5"/>
    <n v="207"/>
    <n v="28"/>
    <n v="39.772882502339975"/>
    <x v="0"/>
    <n v="0.62600185820939458"/>
    <x v="2"/>
    <s v="Route B"/>
    <n v="996.77831495062378"/>
    <n v="2.1126711719515274"/>
    <s v="High Stock"/>
    <s v="Short"/>
    <s v="Low Defect"/>
    <n v="8232.9866779843742"/>
    <n v="635.07869717409733"/>
    <n v="-6932.8585816508721"/>
  </r>
  <r>
    <x v="2"/>
    <x v="92"/>
    <n v="47.714233075820232"/>
    <n v="44"/>
    <n v="276"/>
    <x v="92"/>
    <s v="Male"/>
    <n v="90"/>
    <n v="25"/>
    <n v="10"/>
    <n v="8"/>
    <s v="Carrier B"/>
    <n v="4.4695000261236011"/>
    <x v="4"/>
    <x v="0"/>
    <n v="4"/>
    <n v="671"/>
    <n v="29"/>
    <n v="62.612690395614344"/>
    <x v="2"/>
    <n v="0.33343182522473924"/>
    <x v="2"/>
    <s v="Route B"/>
    <n v="230.09278253676294"/>
    <n v="7.6091657776302046"/>
    <s v="High Stock"/>
    <s v="Short"/>
    <s v="Low Defect"/>
    <n v="42013.115255457225"/>
    <n v="44.695000261236011"/>
    <n v="-39957.680501092524"/>
  </r>
  <r>
    <x v="0"/>
    <x v="93"/>
    <n v="69.290831002905492"/>
    <n v="88"/>
    <n v="114"/>
    <x v="93"/>
    <s v="Unknown"/>
    <n v="63"/>
    <n v="17"/>
    <n v="66"/>
    <n v="1"/>
    <s v="Carrier C"/>
    <n v="7.0064320590043945"/>
    <x v="3"/>
    <x v="4"/>
    <n v="21"/>
    <n v="824"/>
    <n v="20"/>
    <n v="35.633652343343876"/>
    <x v="1"/>
    <n v="4.1657817954241452"/>
    <x v="1"/>
    <s v="Route A"/>
    <n v="823.52384588815585"/>
    <n v="39.74914152361324"/>
    <s v="Medium Stock"/>
    <s v="Long"/>
    <s v="High Defect"/>
    <n v="29362.129530915354"/>
    <n v="462.42451589429004"/>
    <n v="-25293.151913117734"/>
  </r>
  <r>
    <x v="2"/>
    <x v="94"/>
    <n v="3.0376887246314141"/>
    <n v="97"/>
    <n v="987"/>
    <x v="94"/>
    <s v="Unknown"/>
    <n v="77"/>
    <n v="26"/>
    <n v="72"/>
    <n v="9"/>
    <s v="Carrier B"/>
    <n v="6.9429459420325808"/>
    <x v="4"/>
    <x v="2"/>
    <n v="12"/>
    <n v="908"/>
    <n v="14"/>
    <n v="60.387378614862122"/>
    <x v="2"/>
    <n v="1.4636074984727798"/>
    <x v="2"/>
    <s v="Route B"/>
    <n v="846.66525698669477"/>
    <n v="7.9922558730110165"/>
    <s v="High Stock"/>
    <s v="Medium"/>
    <s v="Low Defect"/>
    <n v="54831.739782294804"/>
    <n v="499.89210782634581"/>
    <n v="-47443.275343459274"/>
  </r>
  <r>
    <x v="0"/>
    <x v="95"/>
    <n v="77.903927219447752"/>
    <n v="65"/>
    <n v="672"/>
    <x v="95"/>
    <s v="Unknown"/>
    <n v="15"/>
    <n v="14"/>
    <n v="26"/>
    <n v="9"/>
    <s v="Carrier B"/>
    <n v="8.6303388696027543"/>
    <x v="3"/>
    <x v="0"/>
    <n v="18"/>
    <n v="450"/>
    <n v="26"/>
    <n v="58.890685768589982"/>
    <x v="0"/>
    <n v="1.2108821295850665"/>
    <x v="1"/>
    <s v="Route A"/>
    <n v="778.8642413766479"/>
    <n v="10.991613011977179"/>
    <s v="Low Stock"/>
    <s v="Medium"/>
    <s v="Low Defect"/>
    <n v="26500.808595865492"/>
    <n v="224.38881060967162"/>
    <n v="-19338.833462426497"/>
  </r>
  <r>
    <x v="2"/>
    <x v="96"/>
    <n v="24.42313142037338"/>
    <n v="29"/>
    <n v="324"/>
    <x v="96"/>
    <s v="Non-binary"/>
    <n v="67"/>
    <n v="2"/>
    <n v="32"/>
    <n v="3"/>
    <s v="Carrier C"/>
    <n v="5.3528780439968093"/>
    <x v="0"/>
    <x v="0"/>
    <n v="28"/>
    <n v="648"/>
    <n v="28"/>
    <n v="17.80375633139127"/>
    <x v="0"/>
    <n v="3.8720476814821332"/>
    <x v="0"/>
    <s v="Route A"/>
    <n v="188.74214114905698"/>
    <n v="23.760570264296657"/>
    <s v="Medium Stock"/>
    <s v="Long"/>
    <s v="Medium Defect"/>
    <n v="11536.834102741543"/>
    <n v="171.2920974078979"/>
    <n v="-4009.7014345173238"/>
  </r>
  <r>
    <x v="0"/>
    <x v="97"/>
    <n v="3.5261112591434158"/>
    <n v="56"/>
    <n v="62"/>
    <x v="97"/>
    <s v="Male"/>
    <n v="46"/>
    <n v="19"/>
    <n v="4"/>
    <n v="9"/>
    <s v="Carrier A"/>
    <n v="7.9048456112096748"/>
    <x v="3"/>
    <x v="0"/>
    <n v="10"/>
    <n v="535"/>
    <n v="13"/>
    <n v="65.765155926367456"/>
    <x v="1"/>
    <n v="3.3762378347179811"/>
    <x v="0"/>
    <s v="Route A"/>
    <n v="540.13242286796776"/>
    <n v="70.498654515879608"/>
    <s v="Medium Stock"/>
    <s v="Short"/>
    <s v="Medium Defect"/>
    <n v="35184.358420606586"/>
    <n v="31.619382444838699"/>
    <n v="-30845.061223066888"/>
  </r>
  <r>
    <x v="1"/>
    <x v="98"/>
    <n v="19.754604866878601"/>
    <n v="43"/>
    <n v="913"/>
    <x v="98"/>
    <s v="Female"/>
    <n v="53"/>
    <n v="1"/>
    <n v="27"/>
    <n v="7"/>
    <s v="Carrier B"/>
    <n v="1.4098010951380731"/>
    <x v="2"/>
    <x v="4"/>
    <n v="28"/>
    <n v="581"/>
    <n v="9"/>
    <n v="5.604690864371781"/>
    <x v="0"/>
    <n v="2.9081221693512611"/>
    <x v="2"/>
    <s v="Route A"/>
    <n v="882.19886354704147"/>
    <n v="9.3383927269260969"/>
    <s v="Medium Stock"/>
    <s v="Long"/>
    <s v="Medium Defect"/>
    <n v="3256.3253922000049"/>
    <n v="38.064629568727973"/>
    <n v="5231.5625379147932"/>
  </r>
  <r>
    <x v="0"/>
    <x v="99"/>
    <n v="68.517832699276639"/>
    <n v="17"/>
    <n v="627"/>
    <x v="99"/>
    <s v="Unknown"/>
    <n v="55"/>
    <n v="8"/>
    <n v="59"/>
    <n v="6"/>
    <s v="Carrier B"/>
    <n v="1.3110237561206226"/>
    <x v="4"/>
    <x v="4"/>
    <n v="29"/>
    <n v="921"/>
    <n v="2"/>
    <n v="38.07289852062604"/>
    <x v="1"/>
    <n v="0.34602729070550342"/>
    <x v="2"/>
    <s v="Route B"/>
    <n v="210.74300896424614"/>
    <n v="14.649419185297774"/>
    <s v="Medium Stock"/>
    <s v="Long"/>
    <s v="Low Defect"/>
    <n v="35065.13953749658"/>
    <n v="77.350401611116737"/>
    <n v="-25957.3041099259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1B3C3C-730A-46DE-AED2-71940DCF2ECA}" name="PT_Product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31">
    <pivotField axis="axisRow" showAll="0">
      <items count="4">
        <item x="2"/>
        <item x="0"/>
        <item x="1"/>
        <item t="default"/>
      </items>
    </pivotField>
    <pivotField showAll="0"/>
    <pivotField numFmtId="164" showAll="0"/>
    <pivotField numFmtId="1" showAll="0"/>
    <pivotField numFmtId="1" showAll="0"/>
    <pivotField dataField="1" numFmtId="166" showAll="0">
      <items count="101">
        <item x="59"/>
        <item x="86"/>
        <item x="78"/>
        <item x="57"/>
        <item x="69"/>
        <item x="42"/>
        <item x="75"/>
        <item x="39"/>
        <item x="91"/>
        <item x="58"/>
        <item x="84"/>
        <item x="92"/>
        <item x="25"/>
        <item x="10"/>
        <item x="22"/>
        <item x="83"/>
        <item x="37"/>
        <item x="77"/>
        <item x="19"/>
        <item x="46"/>
        <item x="17"/>
        <item x="72"/>
        <item x="27"/>
        <item x="4"/>
        <item x="30"/>
        <item x="5"/>
        <item x="12"/>
        <item x="55"/>
        <item x="82"/>
        <item x="68"/>
        <item x="26"/>
        <item x="62"/>
        <item x="13"/>
        <item x="63"/>
        <item x="97"/>
        <item x="81"/>
        <item x="93"/>
        <item x="56"/>
        <item x="9"/>
        <item x="87"/>
        <item x="33"/>
        <item x="45"/>
        <item x="76"/>
        <item x="15"/>
        <item x="41"/>
        <item x="74"/>
        <item x="40"/>
        <item x="43"/>
        <item x="50"/>
        <item x="89"/>
        <item x="54"/>
        <item x="11"/>
        <item x="28"/>
        <item x="16"/>
        <item x="35"/>
        <item x="61"/>
        <item x="70"/>
        <item x="21"/>
        <item x="47"/>
        <item x="44"/>
        <item x="95"/>
        <item x="48"/>
        <item x="1"/>
        <item x="8"/>
        <item x="36"/>
        <item x="96"/>
        <item x="3"/>
        <item x="6"/>
        <item x="94"/>
        <item x="79"/>
        <item x="73"/>
        <item x="49"/>
        <item x="20"/>
        <item x="71"/>
        <item x="53"/>
        <item x="29"/>
        <item x="65"/>
        <item x="66"/>
        <item x="64"/>
        <item x="7"/>
        <item x="98"/>
        <item x="80"/>
        <item x="14"/>
        <item x="0"/>
        <item x="85"/>
        <item x="23"/>
        <item x="60"/>
        <item x="24"/>
        <item x="34"/>
        <item x="99"/>
        <item x="18"/>
        <item x="52"/>
        <item x="88"/>
        <item x="67"/>
        <item x="32"/>
        <item x="2"/>
        <item x="90"/>
        <item x="31"/>
        <item x="38"/>
        <item x="51"/>
        <item t="default"/>
      </items>
    </pivotField>
    <pivotField showAll="0"/>
    <pivotField numFmtId="1" showAll="0"/>
    <pivotField showAll="0"/>
    <pivotField numFmtId="1" showAll="0"/>
    <pivotField showAll="0"/>
    <pivotField showAll="0"/>
    <pivotField numFmtId="164" showAll="0"/>
    <pivotField showAll="0"/>
    <pivotField showAll="0">
      <items count="6">
        <item x="3"/>
        <item x="4"/>
        <item x="2"/>
        <item x="1"/>
        <item x="0"/>
        <item t="default"/>
      </items>
    </pivotField>
    <pivotField numFmtId="1" showAll="0"/>
    <pivotField numFmtId="1" showAll="0"/>
    <pivotField numFmtId="1" showAll="0"/>
    <pivotField numFmtId="164" showAll="0"/>
    <pivotField showAll="0"/>
    <pivotField numFmtId="2" showAll="0"/>
    <pivotField showAll="0"/>
    <pivotField showAll="0"/>
    <pivotField numFmtId="164" showAll="0"/>
    <pivotField numFmtId="164" showAll="0"/>
    <pivotField showAll="0"/>
    <pivotField showAll="0"/>
    <pivotField showAll="0"/>
    <pivotField numFmtId="164" showAll="0"/>
    <pivotField numFmtId="164" showAll="0"/>
    <pivotField numFmtId="164" showAll="0"/>
  </pivotFields>
  <rowFields count="1">
    <field x="0"/>
  </rowFields>
  <rowItems count="4">
    <i>
      <x/>
    </i>
    <i>
      <x v="1"/>
    </i>
    <i>
      <x v="2"/>
    </i>
    <i t="grand">
      <x/>
    </i>
  </rowItems>
  <colItems count="1">
    <i/>
  </colItems>
  <dataFields count="1">
    <dataField name="Sum of Revenue_generated " fld="5" baseField="0" baseItem="0" numFmtId="166"/>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B861C2-14FA-4FBE-942B-9267A4A7BCF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31">
    <pivotField axis="axisRow" showAll="0">
      <items count="4">
        <item x="2"/>
        <item x="0"/>
        <item x="1"/>
        <item t="default"/>
      </items>
    </pivotField>
    <pivotField showAll="0"/>
    <pivotField numFmtId="164" showAll="0"/>
    <pivotField numFmtId="1" showAll="0"/>
    <pivotField dataField="1" numFmtId="1" showAll="0"/>
    <pivotField numFmtId="166" showAll="0"/>
    <pivotField showAll="0"/>
    <pivotField numFmtId="1" showAll="0"/>
    <pivotField showAll="0"/>
    <pivotField numFmtId="1" showAll="0"/>
    <pivotField showAll="0"/>
    <pivotField showAll="0"/>
    <pivotField numFmtId="164" showAll="0"/>
    <pivotField showAll="0"/>
    <pivotField showAll="0">
      <items count="6">
        <item x="3"/>
        <item x="4"/>
        <item x="2"/>
        <item x="1"/>
        <item x="0"/>
        <item t="default"/>
      </items>
    </pivotField>
    <pivotField numFmtId="1" showAll="0"/>
    <pivotField numFmtId="1" showAll="0"/>
    <pivotField numFmtId="1" showAll="0"/>
    <pivotField numFmtId="164" showAll="0"/>
    <pivotField showAll="0"/>
    <pivotField numFmtId="2" showAll="0"/>
    <pivotField showAll="0"/>
    <pivotField showAll="0"/>
    <pivotField numFmtId="164" showAll="0"/>
    <pivotField numFmtId="164" showAll="0"/>
    <pivotField showAll="0"/>
    <pivotField showAll="0"/>
    <pivotField showAll="0"/>
    <pivotField numFmtId="164" showAll="0"/>
    <pivotField numFmtId="164" showAll="0"/>
    <pivotField numFmtId="164" showAll="0"/>
  </pivotFields>
  <rowFields count="1">
    <field x="0"/>
  </rowFields>
  <rowItems count="4">
    <i>
      <x/>
    </i>
    <i>
      <x v="1"/>
    </i>
    <i>
      <x v="2"/>
    </i>
    <i t="grand">
      <x/>
    </i>
  </rowItems>
  <colItems count="1">
    <i/>
  </colItems>
  <dataFields count="1">
    <dataField name="Sum of Number_of_products sold" fld="4" baseField="0" baseItem="0" numFmtId="1"/>
  </dataFields>
  <formats count="4">
    <format dxfId="11">
      <pivotArea collapsedLevelsAreSubtotals="1" fieldPosition="0">
        <references count="1">
          <reference field="0" count="1">
            <x v="0"/>
          </reference>
        </references>
      </pivotArea>
    </format>
    <format dxfId="10">
      <pivotArea collapsedLevelsAreSubtotals="1" fieldPosition="0">
        <references count="1">
          <reference field="0" count="1">
            <x v="1"/>
          </reference>
        </references>
      </pivotArea>
    </format>
    <format dxfId="9">
      <pivotArea collapsedLevelsAreSubtotals="1" fieldPosition="0">
        <references count="1">
          <reference field="0" count="1">
            <x v="2"/>
          </reference>
        </references>
      </pivotArea>
    </format>
    <format dxfId="8">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84464C-0BAF-428D-A68D-30B90560845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31">
    <pivotField showAll="0">
      <items count="4">
        <item x="2"/>
        <item x="0"/>
        <item x="1"/>
        <item t="default"/>
      </items>
    </pivotField>
    <pivotField showAll="0"/>
    <pivotField numFmtId="164" showAll="0"/>
    <pivotField numFmtId="1" showAll="0"/>
    <pivotField numFmtId="1" showAll="0"/>
    <pivotField dataField="1" numFmtId="166" showAll="0"/>
    <pivotField showAll="0"/>
    <pivotField numFmtId="1" showAll="0"/>
    <pivotField showAll="0"/>
    <pivotField numFmtId="1" showAll="0"/>
    <pivotField showAll="0"/>
    <pivotField showAll="0"/>
    <pivotField numFmtId="164" showAll="0"/>
    <pivotField axis="axisRow" showAll="0" sortType="descending">
      <items count="6">
        <item x="1"/>
        <item x="4"/>
        <item x="0"/>
        <item x="3"/>
        <item x="2"/>
        <item t="default"/>
      </items>
      <autoSortScope>
        <pivotArea dataOnly="0" outline="0" fieldPosition="0">
          <references count="1">
            <reference field="4294967294" count="1" selected="0">
              <x v="0"/>
            </reference>
          </references>
        </pivotArea>
      </autoSortScope>
    </pivotField>
    <pivotField showAll="0">
      <items count="6">
        <item x="3"/>
        <item x="4"/>
        <item x="2"/>
        <item x="1"/>
        <item x="0"/>
        <item t="default"/>
      </items>
    </pivotField>
    <pivotField numFmtId="1" showAll="0"/>
    <pivotField numFmtId="1" showAll="0"/>
    <pivotField numFmtId="1" showAll="0"/>
    <pivotField numFmtId="164" showAll="0"/>
    <pivotField showAll="0"/>
    <pivotField numFmtId="2" showAll="0"/>
    <pivotField showAll="0"/>
    <pivotField showAll="0"/>
    <pivotField numFmtId="164" showAll="0"/>
    <pivotField numFmtId="164" showAll="0"/>
    <pivotField showAll="0"/>
    <pivotField showAll="0"/>
    <pivotField showAll="0"/>
    <pivotField numFmtId="164" showAll="0"/>
    <pivotField numFmtId="164" showAll="0"/>
    <pivotField numFmtId="164" showAll="0"/>
  </pivotFields>
  <rowFields count="1">
    <field x="13"/>
  </rowFields>
  <rowItems count="6">
    <i>
      <x/>
    </i>
    <i>
      <x v="1"/>
    </i>
    <i>
      <x v="4"/>
    </i>
    <i>
      <x v="2"/>
    </i>
    <i>
      <x v="3"/>
    </i>
    <i t="grand">
      <x/>
    </i>
  </rowItems>
  <colItems count="1">
    <i/>
  </colItems>
  <dataFields count="1">
    <dataField name="Sum of Revenue_generated " fld="5" baseField="0" baseItem="0" numFmtId="166"/>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1A12B2-5126-498D-A3E8-C03633F49F3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31">
    <pivotField showAll="0">
      <items count="4">
        <item x="2"/>
        <item x="0"/>
        <item x="1"/>
        <item t="default"/>
      </items>
    </pivotField>
    <pivotField showAll="0"/>
    <pivotField numFmtId="164" showAll="0"/>
    <pivotField numFmtId="1" showAll="0"/>
    <pivotField numFmtId="1" showAll="0"/>
    <pivotField numFmtId="166" showAll="0"/>
    <pivotField showAll="0"/>
    <pivotField numFmtId="1" showAll="0"/>
    <pivotField showAll="0"/>
    <pivotField numFmtId="1" showAll="0"/>
    <pivotField showAll="0"/>
    <pivotField showAll="0"/>
    <pivotField numFmtId="164" showAll="0"/>
    <pivotField axis="axisRow" showAll="0" sortType="descending">
      <items count="6">
        <item x="1"/>
        <item x="4"/>
        <item x="0"/>
        <item x="3"/>
        <item x="2"/>
        <item t="default"/>
      </items>
      <autoSortScope>
        <pivotArea dataOnly="0" outline="0" fieldPosition="0">
          <references count="1">
            <reference field="4294967294" count="1" selected="0">
              <x v="0"/>
            </reference>
          </references>
        </pivotArea>
      </autoSortScope>
    </pivotField>
    <pivotField showAll="0">
      <items count="6">
        <item x="3"/>
        <item x="4"/>
        <item x="2"/>
        <item x="1"/>
        <item x="0"/>
        <item t="default"/>
      </items>
    </pivotField>
    <pivotField dataField="1" numFmtId="1" showAll="0"/>
    <pivotField numFmtId="1" showAll="0"/>
    <pivotField numFmtId="1" showAll="0"/>
    <pivotField numFmtId="164" showAll="0"/>
    <pivotField showAll="0"/>
    <pivotField numFmtId="2" showAll="0"/>
    <pivotField showAll="0"/>
    <pivotField showAll="0"/>
    <pivotField numFmtId="164" showAll="0"/>
    <pivotField numFmtId="164" showAll="0"/>
    <pivotField showAll="0"/>
    <pivotField showAll="0"/>
    <pivotField showAll="0"/>
    <pivotField numFmtId="164" showAll="0"/>
    <pivotField numFmtId="164" showAll="0"/>
    <pivotField numFmtId="164" showAll="0"/>
  </pivotFields>
  <rowFields count="1">
    <field x="13"/>
  </rowFields>
  <rowItems count="6">
    <i>
      <x v="2"/>
    </i>
    <i>
      <x v="1"/>
    </i>
    <i>
      <x v="4"/>
    </i>
    <i>
      <x v="3"/>
    </i>
    <i>
      <x/>
    </i>
    <i t="grand">
      <x/>
    </i>
  </rowItems>
  <colItems count="1">
    <i/>
  </colItems>
  <dataFields count="1">
    <dataField name="Average of Lead_time" fld="15" subtotal="average" baseField="13" baseItem="0" numFmtId="1"/>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7F2604-7E81-4FFB-B0B2-83115DE9B81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8" firstHeaderRow="0" firstDataRow="1" firstDataCol="1"/>
  <pivotFields count="31">
    <pivotField showAll="0">
      <items count="4">
        <item x="2"/>
        <item x="0"/>
        <item x="1"/>
        <item t="default"/>
      </items>
    </pivotField>
    <pivotField showAll="0"/>
    <pivotField numFmtId="164" showAll="0"/>
    <pivotField numFmtId="1" showAll="0"/>
    <pivotField numFmtId="1" showAll="0"/>
    <pivotField numFmtId="166" showAll="0"/>
    <pivotField showAll="0"/>
    <pivotField numFmtId="1" showAll="0"/>
    <pivotField showAll="0"/>
    <pivotField numFmtId="1" showAll="0"/>
    <pivotField dataField="1" showAll="0"/>
    <pivotField showAll="0"/>
    <pivotField dataField="1" numFmtId="164" showAll="0"/>
    <pivotField showAll="0"/>
    <pivotField showAll="0">
      <items count="6">
        <item x="3"/>
        <item x="4"/>
        <item x="2"/>
        <item x="1"/>
        <item x="0"/>
        <item t="default"/>
      </items>
    </pivotField>
    <pivotField numFmtId="1" showAll="0"/>
    <pivotField numFmtId="1" showAll="0"/>
    <pivotField numFmtId="1" showAll="0"/>
    <pivotField numFmtId="164" showAll="0"/>
    <pivotField showAll="0"/>
    <pivotField numFmtId="2" showAll="0"/>
    <pivotField axis="axisRow" showAll="0">
      <items count="5">
        <item x="1"/>
        <item x="2"/>
        <item x="0"/>
        <item x="3"/>
        <item t="default"/>
      </items>
    </pivotField>
    <pivotField showAll="0"/>
    <pivotField numFmtId="164" showAll="0"/>
    <pivotField numFmtId="164" showAll="0"/>
    <pivotField showAll="0"/>
    <pivotField showAll="0"/>
    <pivotField showAll="0"/>
    <pivotField numFmtId="164" showAll="0"/>
    <pivotField numFmtId="164" showAll="0"/>
    <pivotField numFmtId="164" showAll="0"/>
  </pivotFields>
  <rowFields count="1">
    <field x="21"/>
  </rowFields>
  <rowItems count="5">
    <i>
      <x/>
    </i>
    <i>
      <x v="1"/>
    </i>
    <i>
      <x v="2"/>
    </i>
    <i>
      <x v="3"/>
    </i>
    <i t="grand">
      <x/>
    </i>
  </rowItems>
  <colFields count="1">
    <field x="-2"/>
  </colFields>
  <colItems count="2">
    <i>
      <x/>
    </i>
    <i i="1">
      <x v="1"/>
    </i>
  </colItems>
  <dataFields count="2">
    <dataField name="Sum of Shipping_costs" fld="12" baseField="0" baseItem="0" numFmtId="164"/>
    <dataField name="Average of Shipping_times" fld="10" subtotal="average" baseField="21" baseItem="0"/>
  </dataFields>
  <formats count="6">
    <format dxfId="7">
      <pivotArea dataOnly="0" labelOnly="1" outline="0" fieldPosition="0">
        <references count="1">
          <reference field="4294967294" count="1">
            <x v="1"/>
          </reference>
        </references>
      </pivotArea>
    </format>
    <format dxfId="6">
      <pivotArea collapsedLevelsAreSubtotals="1" fieldPosition="0">
        <references count="2">
          <reference field="4294967294" count="1" selected="0">
            <x v="1"/>
          </reference>
          <reference field="21" count="1">
            <x v="0"/>
          </reference>
        </references>
      </pivotArea>
    </format>
    <format dxfId="5">
      <pivotArea collapsedLevelsAreSubtotals="1" fieldPosition="0">
        <references count="2">
          <reference field="4294967294" count="1" selected="0">
            <x v="1"/>
          </reference>
          <reference field="21" count="1">
            <x v="1"/>
          </reference>
        </references>
      </pivotArea>
    </format>
    <format dxfId="4">
      <pivotArea collapsedLevelsAreSubtotals="1" fieldPosition="0">
        <references count="2">
          <reference field="4294967294" count="1" selected="0">
            <x v="1"/>
          </reference>
          <reference field="21" count="1">
            <x v="2"/>
          </reference>
        </references>
      </pivotArea>
    </format>
    <format dxfId="3">
      <pivotArea collapsedLevelsAreSubtotals="1" fieldPosition="0">
        <references count="2">
          <reference field="4294967294" count="1" selected="0">
            <x v="1"/>
          </reference>
          <reference field="21" count="1">
            <x v="3"/>
          </reference>
        </references>
      </pivotArea>
    </format>
    <format dxfId="2">
      <pivotArea field="21" grandRow="1" outline="0" collapsedLevelsAreSubtotals="1" axis="axisRow"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A936BD3-F225-4A8A-AB1F-187DC3259C0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31">
    <pivotField showAll="0">
      <items count="4">
        <item x="2"/>
        <item x="0"/>
        <item x="1"/>
        <item t="default"/>
      </items>
    </pivotField>
    <pivotField dataField="1" showAll="0"/>
    <pivotField numFmtId="164" showAll="0"/>
    <pivotField numFmtId="1" showAll="0"/>
    <pivotField numFmtId="1" showAll="0"/>
    <pivotField numFmtId="166" showAll="0"/>
    <pivotField showAll="0"/>
    <pivotField numFmtId="1" showAll="0"/>
    <pivotField showAll="0"/>
    <pivotField numFmtId="1" showAll="0"/>
    <pivotField showAll="0"/>
    <pivotField showAll="0"/>
    <pivotField numFmtId="164" showAll="0"/>
    <pivotField showAll="0"/>
    <pivotField showAll="0">
      <items count="6">
        <item x="3"/>
        <item x="4"/>
        <item x="2"/>
        <item x="1"/>
        <item x="0"/>
        <item t="default"/>
      </items>
    </pivotField>
    <pivotField numFmtId="1" showAll="0"/>
    <pivotField numFmtId="1" showAll="0"/>
    <pivotField numFmtId="1" showAll="0"/>
    <pivotField numFmtId="164"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numFmtId="2" showAll="0"/>
    <pivotField showAll="0"/>
    <pivotField showAll="0"/>
    <pivotField numFmtId="164" showAll="0"/>
    <pivotField numFmtId="164" showAll="0"/>
    <pivotField showAll="0"/>
    <pivotField showAll="0"/>
    <pivotField showAll="0"/>
    <pivotField numFmtId="164" showAll="0"/>
    <pivotField numFmtId="164" showAll="0"/>
    <pivotField numFmtId="164" showAll="0"/>
  </pivotFields>
  <rowFields count="1">
    <field x="19"/>
  </rowFields>
  <rowItems count="4">
    <i>
      <x v="2"/>
    </i>
    <i>
      <x/>
    </i>
    <i>
      <x v="1"/>
    </i>
    <i t="grand">
      <x/>
    </i>
  </rowItems>
  <colItems count="1">
    <i/>
  </colItems>
  <dataFields count="1">
    <dataField name="Count of SKU" fld="1" subtotal="count" baseField="0" baseItem="0"/>
  </dataFields>
  <chartFormats count="10">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9" count="1" selected="0">
            <x v="2"/>
          </reference>
        </references>
      </pivotArea>
    </chartFormat>
    <chartFormat chart="3" format="2">
      <pivotArea type="data" outline="0" fieldPosition="0">
        <references count="2">
          <reference field="4294967294" count="1" selected="0">
            <x v="0"/>
          </reference>
          <reference field="19" count="1" selected="0">
            <x v="0"/>
          </reference>
        </references>
      </pivotArea>
    </chartFormat>
    <chartFormat chart="3" format="3">
      <pivotArea type="data" outline="0" fieldPosition="0">
        <references count="2">
          <reference field="4294967294" count="1" selected="0">
            <x v="0"/>
          </reference>
          <reference field="19"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9" count="1" selected="0">
            <x v="2"/>
          </reference>
        </references>
      </pivotArea>
    </chartFormat>
    <chartFormat chart="6" format="10">
      <pivotArea type="data" outline="0" fieldPosition="0">
        <references count="2">
          <reference field="4294967294" count="1" selected="0">
            <x v="0"/>
          </reference>
          <reference field="19" count="1" selected="0">
            <x v="0"/>
          </reference>
        </references>
      </pivotArea>
    </chartFormat>
    <chartFormat chart="6" format="1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F34C755-CEFA-4641-A9F9-B618DCAAB66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B15" firstHeaderRow="1" firstDataRow="1" firstDataCol="1"/>
  <pivotFields count="31">
    <pivotField showAll="0">
      <items count="4">
        <item x="2"/>
        <item x="0"/>
        <item x="1"/>
        <item t="default"/>
      </items>
    </pivotField>
    <pivotField axis="axisRow" showAll="0" measureFilter="1" sortType="descending">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autoSortScope>
        <pivotArea dataOnly="0" outline="0" fieldPosition="0">
          <references count="1">
            <reference field="4294967294" count="1" selected="0">
              <x v="0"/>
            </reference>
          </references>
        </pivotArea>
      </autoSortScope>
    </pivotField>
    <pivotField numFmtId="164" showAll="0"/>
    <pivotField numFmtId="1" showAll="0"/>
    <pivotField numFmtId="1" showAll="0"/>
    <pivotField dataField="1" numFmtId="166" showAll="0">
      <items count="101">
        <item x="59"/>
        <item x="86"/>
        <item x="78"/>
        <item x="57"/>
        <item x="69"/>
        <item x="42"/>
        <item x="75"/>
        <item x="39"/>
        <item x="91"/>
        <item x="58"/>
        <item x="84"/>
        <item x="92"/>
        <item x="25"/>
        <item x="10"/>
        <item x="22"/>
        <item x="83"/>
        <item x="37"/>
        <item x="77"/>
        <item x="19"/>
        <item x="46"/>
        <item x="17"/>
        <item x="72"/>
        <item x="27"/>
        <item x="4"/>
        <item x="30"/>
        <item x="5"/>
        <item x="12"/>
        <item x="55"/>
        <item x="82"/>
        <item x="68"/>
        <item x="26"/>
        <item x="62"/>
        <item x="13"/>
        <item x="63"/>
        <item x="97"/>
        <item x="81"/>
        <item x="93"/>
        <item x="56"/>
        <item x="9"/>
        <item x="87"/>
        <item x="33"/>
        <item x="45"/>
        <item x="76"/>
        <item x="15"/>
        <item x="41"/>
        <item x="74"/>
        <item x="40"/>
        <item x="43"/>
        <item x="50"/>
        <item x="89"/>
        <item x="54"/>
        <item x="11"/>
        <item x="28"/>
        <item x="16"/>
        <item x="35"/>
        <item x="61"/>
        <item x="70"/>
        <item x="21"/>
        <item x="47"/>
        <item x="44"/>
        <item x="95"/>
        <item x="48"/>
        <item x="1"/>
        <item x="8"/>
        <item x="36"/>
        <item x="96"/>
        <item x="3"/>
        <item x="6"/>
        <item x="94"/>
        <item x="79"/>
        <item x="73"/>
        <item x="49"/>
        <item x="20"/>
        <item x="71"/>
        <item x="53"/>
        <item x="29"/>
        <item x="65"/>
        <item x="66"/>
        <item x="64"/>
        <item x="7"/>
        <item x="98"/>
        <item x="80"/>
        <item x="14"/>
        <item x="0"/>
        <item x="85"/>
        <item x="23"/>
        <item x="60"/>
        <item x="24"/>
        <item x="34"/>
        <item x="99"/>
        <item x="18"/>
        <item x="52"/>
        <item x="88"/>
        <item x="67"/>
        <item x="32"/>
        <item x="2"/>
        <item x="90"/>
        <item x="31"/>
        <item x="38"/>
        <item x="51"/>
        <item t="default"/>
      </items>
    </pivotField>
    <pivotField showAll="0"/>
    <pivotField numFmtId="1" showAll="0"/>
    <pivotField showAll="0"/>
    <pivotField numFmtId="1" showAll="0"/>
    <pivotField showAll="0"/>
    <pivotField showAll="0"/>
    <pivotField numFmtId="164" showAll="0"/>
    <pivotField showAll="0"/>
    <pivotField showAll="0">
      <items count="6">
        <item x="3"/>
        <item x="4"/>
        <item x="2"/>
        <item x="1"/>
        <item x="0"/>
        <item t="default"/>
      </items>
    </pivotField>
    <pivotField numFmtId="1" showAll="0"/>
    <pivotField numFmtId="1" showAll="0"/>
    <pivotField numFmtId="1" showAll="0"/>
    <pivotField numFmtId="164" showAll="0"/>
    <pivotField showAll="0"/>
    <pivotField numFmtId="2" showAll="0"/>
    <pivotField showAll="0"/>
    <pivotField showAll="0"/>
    <pivotField numFmtId="164" showAll="0"/>
    <pivotField numFmtId="164" showAll="0"/>
    <pivotField showAll="0"/>
    <pivotField showAll="0"/>
    <pivotField showAll="0"/>
    <pivotField numFmtId="164" showAll="0"/>
    <pivotField numFmtId="164" showAll="0"/>
    <pivotField numFmtId="164" showAll="0"/>
  </pivotFields>
  <rowFields count="1">
    <field x="1"/>
  </rowFields>
  <rowItems count="11">
    <i>
      <x v="47"/>
    </i>
    <i>
      <x v="32"/>
    </i>
    <i>
      <x v="25"/>
    </i>
    <i>
      <x v="90"/>
    </i>
    <i>
      <x v="12"/>
    </i>
    <i>
      <x v="26"/>
    </i>
    <i>
      <x v="64"/>
    </i>
    <i>
      <x v="87"/>
    </i>
    <i>
      <x v="48"/>
    </i>
    <i>
      <x v="10"/>
    </i>
    <i t="grand">
      <x/>
    </i>
  </rowItems>
  <colItems count="1">
    <i/>
  </colItems>
  <dataFields count="1">
    <dataField name="Sum of Revenue_generated " fld="5" baseField="1" baseItem="47" numFmtId="166"/>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697C922-2B8A-4FCF-A3E7-F5831D33474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31">
    <pivotField showAll="0">
      <items count="4">
        <item x="2"/>
        <item x="0"/>
        <item x="1"/>
        <item t="default"/>
      </items>
    </pivotField>
    <pivotField showAll="0"/>
    <pivotField numFmtId="164" showAll="0"/>
    <pivotField numFmtId="1" showAll="0"/>
    <pivotField numFmtId="1" showAll="0"/>
    <pivotField numFmtId="166" showAll="0"/>
    <pivotField showAll="0"/>
    <pivotField numFmtId="1" showAll="0"/>
    <pivotField showAll="0"/>
    <pivotField numFmtId="1" showAll="0"/>
    <pivotField showAll="0"/>
    <pivotField showAll="0"/>
    <pivotField numFmtId="164" showAll="0"/>
    <pivotField axis="axisRow" showAll="0">
      <items count="6">
        <item x="1"/>
        <item x="4"/>
        <item x="0"/>
        <item x="3"/>
        <item x="2"/>
        <item t="default"/>
      </items>
    </pivotField>
    <pivotField showAll="0">
      <items count="6">
        <item x="3"/>
        <item x="4"/>
        <item x="2"/>
        <item x="1"/>
        <item x="0"/>
        <item t="default"/>
      </items>
    </pivotField>
    <pivotField numFmtId="1" showAll="0"/>
    <pivotField numFmtId="1" showAll="0"/>
    <pivotField numFmtId="1" showAll="0"/>
    <pivotField numFmtId="164" showAll="0"/>
    <pivotField showAll="0"/>
    <pivotField dataField="1" numFmtId="2" showAll="0"/>
    <pivotField showAll="0"/>
    <pivotField showAll="0"/>
    <pivotField numFmtId="164" showAll="0"/>
    <pivotField numFmtId="164" showAll="0"/>
    <pivotField showAll="0"/>
    <pivotField showAll="0"/>
    <pivotField showAll="0"/>
    <pivotField numFmtId="164" showAll="0"/>
    <pivotField numFmtId="164" showAll="0"/>
    <pivotField numFmtId="164" showAll="0"/>
  </pivotFields>
  <rowFields count="1">
    <field x="13"/>
  </rowFields>
  <rowItems count="6">
    <i>
      <x/>
    </i>
    <i>
      <x v="1"/>
    </i>
    <i>
      <x v="2"/>
    </i>
    <i>
      <x v="3"/>
    </i>
    <i>
      <x v="4"/>
    </i>
    <i t="grand">
      <x/>
    </i>
  </rowItems>
  <colItems count="1">
    <i/>
  </colItems>
  <dataFields count="1">
    <dataField name="Average of Defect_rates" fld="20" subtotal="average" baseField="13" baseItem="0" numFmtId="2"/>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27DF3C0-4728-41AF-838C-AC870D7FB580}" autoFormatId="16" applyNumberFormats="0" applyBorderFormats="0" applyFontFormats="0" applyPatternFormats="0" applyAlignmentFormats="0" applyWidthHeightFormats="0">
  <queryTableRefresh nextId="25">
    <queryTableFields count="24">
      <queryTableField id="1" name="Product type" tableColumnId="1"/>
      <queryTableField id="2" name="SKU" tableColumnId="2"/>
      <queryTableField id="3" name="Price" tableColumnId="3"/>
      <queryTableField id="4" name="Availability" tableColumnId="4"/>
      <queryTableField id="5" name="Number of products sold" tableColumnId="5"/>
      <queryTableField id="6" name="Revenue generated" tableColumnId="6"/>
      <queryTableField id="7" name="Customer demographics" tableColumnId="7"/>
      <queryTableField id="8" name="Stock levels" tableColumnId="8"/>
      <queryTableField id="9" name="Lead times" tableColumnId="9"/>
      <queryTableField id="10" name="Order quantities" tableColumnId="10"/>
      <queryTableField id="11" name="Shipping times" tableColumnId="11"/>
      <queryTableField id="12" name="Shipping carriers" tableColumnId="12"/>
      <queryTableField id="13" name="Shipping costs" tableColumnId="13"/>
      <queryTableField id="14" name="Supplier name" tableColumnId="14"/>
      <queryTableField id="15" name="Location" tableColumnId="15"/>
      <queryTableField id="16" name="Lead time" tableColumnId="16"/>
      <queryTableField id="17" name="Production volumes" tableColumnId="17"/>
      <queryTableField id="18" name="Manufacturing lead time" tableColumnId="18"/>
      <queryTableField id="19" name="Manufacturing costs" tableColumnId="19"/>
      <queryTableField id="20" name="Inspection results" tableColumnId="20"/>
      <queryTableField id="21" name="Defect rates" tableColumnId="21"/>
      <queryTableField id="22" name="Transportation modes" tableColumnId="22"/>
      <queryTableField id="23" name="Routes" tableColumnId="23"/>
      <queryTableField id="24" name="Costs" tableColumnId="2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C8491803-E28B-4B26-9BE4-EB6AC84AEA00}" autoFormatId="16" applyNumberFormats="0" applyBorderFormats="0" applyFontFormats="0" applyPatternFormats="0" applyAlignmentFormats="0" applyWidthHeightFormats="0">
  <queryTableRefresh nextId="25">
    <queryTableFields count="24">
      <queryTableField id="1" name="Product type" tableColumnId="1"/>
      <queryTableField id="2" name="SKU" tableColumnId="2"/>
      <queryTableField id="3" name="Price" tableColumnId="3"/>
      <queryTableField id="4" name="Availability" tableColumnId="4"/>
      <queryTableField id="5" name="Number of products sold" tableColumnId="5"/>
      <queryTableField id="6" name="Revenue generated" tableColumnId="6"/>
      <queryTableField id="7" name="Customer demographics" tableColumnId="7"/>
      <queryTableField id="8" name="Stock levels" tableColumnId="8"/>
      <queryTableField id="9" name="Lead times" tableColumnId="9"/>
      <queryTableField id="10" name="Order quantities" tableColumnId="10"/>
      <queryTableField id="11" name="Shipping times" tableColumnId="11"/>
      <queryTableField id="12" name="Shipping carriers" tableColumnId="12"/>
      <queryTableField id="13" name="Shipping costs" tableColumnId="13"/>
      <queryTableField id="14" name="Supplier name" tableColumnId="14"/>
      <queryTableField id="15" name="Location" tableColumnId="15"/>
      <queryTableField id="16" name="Lead time" tableColumnId="16"/>
      <queryTableField id="17" name="Production volumes" tableColumnId="17"/>
      <queryTableField id="18" name="Manufacturing lead time" tableColumnId="18"/>
      <queryTableField id="19" name="Manufacturing costs" tableColumnId="19"/>
      <queryTableField id="20" name="Inspection results" tableColumnId="20"/>
      <queryTableField id="21" name="Defect rates" tableColumnId="21"/>
      <queryTableField id="22" name="Transportation modes" tableColumnId="22"/>
      <queryTableField id="23" name="Routes" tableColumnId="23"/>
      <queryTableField id="24" name="Costs"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D0C444C4-D4DD-4332-BCDA-B69387655373}" sourceName="Product type">
  <pivotTables>
    <pivotTable tabId="7" name="PT_Product_Revenue"/>
    <pivotTable tabId="17" name="PivotTable2"/>
    <pivotTable tabId="12" name="PivotTable7"/>
    <pivotTable tabId="8" name="PivotTable3"/>
    <pivotTable tabId="10" name="PivotTable5"/>
    <pivotTable tabId="9" name="PivotTable4"/>
    <pivotTable tabId="11" name="PivotTable6"/>
    <pivotTable tabId="14" name="PivotTable9"/>
  </pivotTables>
  <data>
    <tabular pivotCacheId="1924492855">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65F6AA5A-1317-43F1-BCA1-140DCFE13071}" sourceName="Location">
  <pivotTables>
    <pivotTable tabId="7" name="PT_Product_Revenue"/>
    <pivotTable tabId="17" name="PivotTable2"/>
    <pivotTable tabId="12" name="PivotTable7"/>
    <pivotTable tabId="8" name="PivotTable3"/>
    <pivotTable tabId="10" name="PivotTable5"/>
    <pivotTable tabId="9" name="PivotTable4"/>
    <pivotTable tabId="11" name="PivotTable6"/>
    <pivotTable tabId="14" name="PivotTable9"/>
  </pivotTables>
  <data>
    <tabular pivotCacheId="1924492855">
      <items count="5">
        <i x="3" s="1"/>
        <i x="4"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type" xr10:uid="{98E1EA8A-0AE8-4829-AFF0-B8241B7573DC}" cache="Slicer_Product_type" caption="Product type" style="SlicerStyleLight4" rowHeight="234950"/>
  <slicer name="Location" xr10:uid="{4A6790C5-5B1F-41C2-BD0C-712B0361CA3C}" cache="Slicer_Location" caption="Location" style="SlicerStyleLight4"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3A8E6D-8176-47A2-89F6-11BFB827BB4B}" name="supply_chain_data" displayName="supply_chain_data" ref="A1:X101" tableType="queryTable" totalsRowShown="0">
  <autoFilter ref="A1:X101" xr:uid="{9E3A8E6D-8176-47A2-89F6-11BFB827BB4B}"/>
  <tableColumns count="24">
    <tableColumn id="1" xr3:uid="{A5A07ACE-CBCA-48D5-9E00-1B547ACEF3AD}" uniqueName="1" name="Product type" queryTableFieldId="1" dataDxfId="46"/>
    <tableColumn id="2" xr3:uid="{63F23AE2-11CF-4C0B-84F5-7404783AEFE9}" uniqueName="2" name="SKU" queryTableFieldId="2" dataDxfId="45"/>
    <tableColumn id="3" xr3:uid="{F15EF4FC-AC63-40DE-AB1C-5D36E7E46A46}" uniqueName="3" name="Price" queryTableFieldId="3"/>
    <tableColumn id="4" xr3:uid="{E1129DB1-5160-4E36-9938-F3DDA5577DB1}" uniqueName="4" name="Availability" queryTableFieldId="4"/>
    <tableColumn id="5" xr3:uid="{E46CC314-5B80-4F23-B423-6081E158F92F}" uniqueName="5" name="Number of products sold" queryTableFieldId="5"/>
    <tableColumn id="6" xr3:uid="{4567B911-0CB1-4607-8702-5ECE2CD4C4D1}" uniqueName="6" name="Revenue generated" queryTableFieldId="6"/>
    <tableColumn id="7" xr3:uid="{21AF114D-1A12-4F33-9700-403D7624510D}" uniqueName="7" name="Customer demographics" queryTableFieldId="7" dataDxfId="44"/>
    <tableColumn id="8" xr3:uid="{4BAC2970-B6FC-456C-9E42-5A28E52420A6}" uniqueName="8" name="Stock levels" queryTableFieldId="8"/>
    <tableColumn id="9" xr3:uid="{A21D2360-B840-4B2F-9E60-72CA403E2517}" uniqueName="9" name="Lead times" queryTableFieldId="9"/>
    <tableColumn id="10" xr3:uid="{F0E8D2EC-05F8-4F75-B3C3-042115071087}" uniqueName="10" name="Order quantities" queryTableFieldId="10"/>
    <tableColumn id="11" xr3:uid="{760476E6-189C-478F-957D-908CF34EC31E}" uniqueName="11" name="Shipping times" queryTableFieldId="11"/>
    <tableColumn id="12" xr3:uid="{88EB3BBA-E241-474A-946D-A1BA582B6546}" uniqueName="12" name="Shipping carriers" queryTableFieldId="12" dataDxfId="43"/>
    <tableColumn id="13" xr3:uid="{62F17903-AE53-4736-B0CD-3C73A41BB33F}" uniqueName="13" name="Shipping costs" queryTableFieldId="13"/>
    <tableColumn id="14" xr3:uid="{C56F8C70-85FB-42C3-BC4D-6C983100F56C}" uniqueName="14" name="Supplier name" queryTableFieldId="14" dataDxfId="42"/>
    <tableColumn id="15" xr3:uid="{D6B94C5F-BF01-4145-9B2D-39624028C8D2}" uniqueName="15" name="Location" queryTableFieldId="15" dataDxfId="41"/>
    <tableColumn id="16" xr3:uid="{49916BBD-C3DE-4667-B869-A81AD652D667}" uniqueName="16" name="Lead time" queryTableFieldId="16"/>
    <tableColumn id="17" xr3:uid="{E77BF23A-D9CC-4D08-920C-25CEDC034F77}" uniqueName="17" name="Production volumes" queryTableFieldId="17"/>
    <tableColumn id="18" xr3:uid="{2C24093A-ED34-4459-8690-1093300A3A5D}" uniqueName="18" name="Manufacturing lead time" queryTableFieldId="18"/>
    <tableColumn id="19" xr3:uid="{9F0D381C-C9D7-441B-94F3-9420BCF0C469}" uniqueName="19" name="Manufacturing costs" queryTableFieldId="19"/>
    <tableColumn id="20" xr3:uid="{7DE581F3-7696-4296-9FC3-48E03FFF000A}" uniqueName="20" name="Inspection results" queryTableFieldId="20" dataDxfId="40"/>
    <tableColumn id="21" xr3:uid="{308D2804-2E33-4214-974E-51B928674FA5}" uniqueName="21" name="Defect rates" queryTableFieldId="21"/>
    <tableColumn id="22" xr3:uid="{02DBF2D2-E6AF-4A3F-A213-831FA27164B2}" uniqueName="22" name="Transportation modes" queryTableFieldId="22" dataDxfId="39"/>
    <tableColumn id="23" xr3:uid="{78ED500B-44A4-4C69-858F-3377CFFC41C9}" uniqueName="23" name="Routes" queryTableFieldId="23" dataDxfId="38"/>
    <tableColumn id="24" xr3:uid="{8E8B510C-287E-43A2-B6E0-DC25EF231570}" uniqueName="24" name="Costs" queryTableFieldId="2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6716859-0AB3-4573-BA38-23066D51C756}" name="supply_chain_data4" displayName="supply_chain_data4" ref="A1:X101" tableType="queryTable" totalsRowShown="0">
  <autoFilter ref="A1:X101" xr:uid="{36716859-0AB3-4573-BA38-23066D51C756}"/>
  <tableColumns count="24">
    <tableColumn id="1" xr3:uid="{21E7A39E-ABC9-41C8-9ADF-AF5AAB8E8421}" uniqueName="1" name="Product type" queryTableFieldId="1" dataDxfId="37"/>
    <tableColumn id="2" xr3:uid="{E507D4F9-9CF6-4D17-9E23-F0FC4038EC26}" uniqueName="2" name="SKU" queryTableFieldId="2" dataDxfId="36"/>
    <tableColumn id="3" xr3:uid="{72AA52E6-82EE-4AD3-B982-6FCE13F67C2B}" uniqueName="3" name="Price" queryTableFieldId="3" dataDxfId="35"/>
    <tableColumn id="4" xr3:uid="{23A5103B-C220-4052-87BC-9BF50C5B8665}" uniqueName="4" name="Availability" queryTableFieldId="4" dataDxfId="34"/>
    <tableColumn id="5" xr3:uid="{67D250BF-5687-4C95-8797-09295829B4B3}" uniqueName="5" name="Number_of_products sold" queryTableFieldId="5" dataDxfId="33"/>
    <tableColumn id="6" xr3:uid="{4CAEBE8C-55E5-4B6A-9AEB-4C0B12E9D22B}" uniqueName="6" name="Revenue_generated " queryTableFieldId="6" dataDxfId="32"/>
    <tableColumn id="7" xr3:uid="{A17AFD83-8F7C-47D9-B60A-59A64A309DD3}" uniqueName="7" name="Customer_demographics" queryTableFieldId="7" dataDxfId="31"/>
    <tableColumn id="8" xr3:uid="{AC59F288-1F66-41CE-A822-E56AF48B0F2A}" uniqueName="8" name="Stock_levels" queryTableFieldId="8" dataDxfId="30"/>
    <tableColumn id="9" xr3:uid="{4ACF663F-F961-409E-B9AF-8EADBB547AE0}" uniqueName="9" name="Lead_times" queryTableFieldId="9"/>
    <tableColumn id="10" xr3:uid="{9960DB6B-7ECA-4FBF-8F55-DCB29FA53016}" uniqueName="10" name="Order_quantities" queryTableFieldId="10" dataDxfId="29"/>
    <tableColumn id="11" xr3:uid="{A0749BE0-1AF7-42FF-A615-49CA5B6E54C9}" uniqueName="11" name="Shipping_times" queryTableFieldId="11"/>
    <tableColumn id="12" xr3:uid="{E7ED53A7-269D-44A5-91F8-4375524E6EAA}" uniqueName="12" name="Shipping_carriers" queryTableFieldId="12" dataDxfId="28"/>
    <tableColumn id="13" xr3:uid="{198C61E2-1803-4252-81B9-9F3BE5B79503}" uniqueName="13" name="Shipping_costs" queryTableFieldId="13" dataDxfId="27"/>
    <tableColumn id="14" xr3:uid="{70F08689-0E52-4FB1-92BC-2C9870895DDE}" uniqueName="14" name="Supplier_name" queryTableFieldId="14" dataDxfId="26"/>
    <tableColumn id="15" xr3:uid="{09D59036-8D93-4FE2-B184-A230869FB340}" uniqueName="15" name="Location" queryTableFieldId="15" dataDxfId="25"/>
    <tableColumn id="16" xr3:uid="{4313A874-04E1-4C47-9FBD-6F99C87E4A63}" uniqueName="16" name="Lead_time" queryTableFieldId="16" dataDxfId="24"/>
    <tableColumn id="17" xr3:uid="{7793A678-27F9-4642-B25C-DD1FDC961E2C}" uniqueName="17" name="Production_volumes" queryTableFieldId="17" dataDxfId="23"/>
    <tableColumn id="18" xr3:uid="{91F0FA87-F30B-481B-BEC6-AF1AA5459CD5}" uniqueName="18" name="Manufacturing_lead_time" queryTableFieldId="18" dataDxfId="22"/>
    <tableColumn id="19" xr3:uid="{CDC8CE2E-F9D5-4A53-A7D9-123C4666E3BB}" uniqueName="19" name="Manufacturing_costs" queryTableFieldId="19" dataDxfId="21"/>
    <tableColumn id="20" xr3:uid="{CCE9E713-7731-4C3B-A561-5B52566D50A6}" uniqueName="20" name="Inspection results" queryTableFieldId="20" dataDxfId="20"/>
    <tableColumn id="21" xr3:uid="{6D4226BC-3C6B-4A5B-AC51-C9E99CCFFABD}" uniqueName="21" name="Defect_rates" queryTableFieldId="21" dataDxfId="19"/>
    <tableColumn id="22" xr3:uid="{109A9E8F-7910-4ED6-A4E8-A620AD32A46A}" uniqueName="22" name="Transportation modes" queryTableFieldId="22" dataDxfId="18"/>
    <tableColumn id="23" xr3:uid="{066E2275-9FC8-4B50-9085-9AD2C2EA7C67}" uniqueName="23" name="Routes" queryTableFieldId="23" dataDxfId="17"/>
    <tableColumn id="24" xr3:uid="{5252E6C1-3619-4C43-98AA-5A734D2E4A82}" uniqueName="24" name="Costs" queryTableFieldId="24" dataDxfId="16"/>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09E0962-20BA-44F6-B193-72B55162492B}" name="Table2" displayName="Table2" ref="Y1:AE101" totalsRowShown="0">
  <autoFilter ref="Y1:AE101" xr:uid="{A09E0962-20BA-44F6-B193-72B55162492B}"/>
  <tableColumns count="7">
    <tableColumn id="1" xr3:uid="{D93239F7-9F09-4D42-A102-BB59B7845F27}" name="Revenue per Unit" dataDxfId="15">
      <calculatedColumnFormula>supply_chain_data4[[#This Row],[Revenue_generated ]]/supply_chain_data4[[#This Row],[Number_of_products sold]]</calculatedColumnFormula>
    </tableColumn>
    <tableColumn id="2" xr3:uid="{E93CF674-4438-42FC-ACC9-212F9A66553E}" name="Inventory_Status">
      <calculatedColumnFormula>IF(supply_chain_data4[[#This Row],[Stock_levels]]&lt;30,"Low Stock",
IF(supply_chain_data4[[#This Row],[Stock_levels]]&lt;=70,"Medium Stock","High Stock"))</calculatedColumnFormula>
    </tableColumn>
    <tableColumn id="3" xr3:uid="{B44D315E-489B-4124-B806-8C54E96BBD7C}" name="Lead_Time_Category">
      <calculatedColumnFormula>IF(supply_chain_data4[[#This Row],[Lead_time]]&lt;=10,"Short",
IF(supply_chain_data4[[#This Row],[Lead_time]]&lt;=20,"Medium","Long"))</calculatedColumnFormula>
    </tableColumn>
    <tableColumn id="4" xr3:uid="{6152ADAC-404B-4970-A26B-E9385A158E29}" name="Defect_Status">
      <calculatedColumnFormula>IF(supply_chain_data4[[#This Row],[Defect_rates]]&lt;2,"Low Defect",
IF(supply_chain_data4[[#This Row],[Defect_rates]]&lt;=4,"Medium Defect","High Defect"))</calculatedColumnFormula>
    </tableColumn>
    <tableColumn id="5" xr3:uid="{09B7B5C6-4F61-4012-BE6E-859CF868C0D1}" name="Estimated_Manufacturing_Cost" dataDxfId="14">
      <calculatedColumnFormula>supply_chain_data4[[#This Row],[Production_volumes]]*supply_chain_data4[[#This Row],[Manufacturing_costs]]</calculatedColumnFormula>
    </tableColumn>
    <tableColumn id="6" xr3:uid="{0EDA6B12-CABF-499E-87D9-3CB7D6C6A36F}" name="Estimated_Shipping_Cost" dataDxfId="13">
      <calculatedColumnFormula>supply_chain_data4[[#This Row],[Order_quantities]]*supply_chain_data4[[#This Row],[Shipping_costs]]</calculatedColumnFormula>
    </tableColumn>
    <tableColumn id="7" xr3:uid="{B1E1BA4A-5C2B-4594-ACE6-D53D88BC2A10}" name="Estimated_Profit/Loss" dataDxfId="12">
      <calculatedColumnFormula>supply_chain_data4[[#This Row],[Revenue_generated ]]-AC2-AD2</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AE607-CFA7-42E2-A6C4-0973DE899092}">
  <dimension ref="A1:X101"/>
  <sheetViews>
    <sheetView topLeftCell="M75" workbookViewId="0">
      <selection sqref="A1:X101"/>
    </sheetView>
  </sheetViews>
  <sheetFormatPr defaultRowHeight="14.4" x14ac:dyDescent="0.3"/>
  <cols>
    <col min="1" max="1" width="14.109375" bestFit="1" customWidth="1"/>
    <col min="2" max="2" width="6.6640625" bestFit="1" customWidth="1"/>
    <col min="3" max="3" width="12" bestFit="1" customWidth="1"/>
    <col min="4" max="4" width="12.44140625" bestFit="1" customWidth="1"/>
    <col min="5" max="5" width="24.44140625" bestFit="1" customWidth="1"/>
    <col min="6" max="6" width="19.77734375" bestFit="1" customWidth="1"/>
    <col min="7" max="7" width="24" bestFit="1" customWidth="1"/>
    <col min="8" max="8" width="13" bestFit="1" customWidth="1"/>
    <col min="9" max="9" width="12.21875" bestFit="1" customWidth="1"/>
    <col min="10" max="10" width="16.88671875" bestFit="1" customWidth="1"/>
    <col min="11" max="11" width="15.6640625" bestFit="1" customWidth="1"/>
    <col min="12" max="12" width="17.21875" bestFit="1" customWidth="1"/>
    <col min="13" max="13" width="15.33203125" bestFit="1" customWidth="1"/>
    <col min="14" max="14" width="15.44140625" bestFit="1" customWidth="1"/>
    <col min="15" max="15" width="10.44140625" bestFit="1" customWidth="1"/>
    <col min="16" max="16" width="11.44140625" bestFit="1" customWidth="1"/>
    <col min="17" max="17" width="20.33203125" bestFit="1" customWidth="1"/>
    <col min="18" max="18" width="24.33203125" bestFit="1" customWidth="1"/>
    <col min="19" max="19" width="20.6640625" bestFit="1" customWidth="1"/>
    <col min="20" max="20" width="18" bestFit="1" customWidth="1"/>
    <col min="21" max="21" width="13.21875" bestFit="1" customWidth="1"/>
    <col min="22" max="22" width="22" bestFit="1" customWidth="1"/>
    <col min="23" max="23" width="9" bestFit="1" customWidth="1"/>
    <col min="24" max="24" width="12" bestFit="1" customWidth="1"/>
  </cols>
  <sheetData>
    <row r="1" spans="1:2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
      <c r="A2" t="s">
        <v>24</v>
      </c>
      <c r="B2" t="s">
        <v>25</v>
      </c>
      <c r="C2">
        <v>69.808005542115765</v>
      </c>
      <c r="D2">
        <v>55</v>
      </c>
      <c r="E2">
        <v>802</v>
      </c>
      <c r="F2">
        <v>8661.9967923923832</v>
      </c>
      <c r="G2" t="s">
        <v>26</v>
      </c>
      <c r="H2">
        <v>58</v>
      </c>
      <c r="I2">
        <v>7</v>
      </c>
      <c r="J2">
        <v>96</v>
      </c>
      <c r="K2">
        <v>4</v>
      </c>
      <c r="L2" t="s">
        <v>27</v>
      </c>
      <c r="M2">
        <v>2.9565721394308069</v>
      </c>
      <c r="N2" t="s">
        <v>28</v>
      </c>
      <c r="O2" t="s">
        <v>29</v>
      </c>
      <c r="P2">
        <v>29</v>
      </c>
      <c r="Q2">
        <v>215</v>
      </c>
      <c r="R2">
        <v>29</v>
      </c>
      <c r="S2">
        <v>46.279879240508322</v>
      </c>
      <c r="T2" t="s">
        <v>30</v>
      </c>
      <c r="U2">
        <v>0.22641036084992516</v>
      </c>
      <c r="V2" t="s">
        <v>31</v>
      </c>
      <c r="W2" t="s">
        <v>32</v>
      </c>
      <c r="X2">
        <v>187.75207545920392</v>
      </c>
    </row>
    <row r="3" spans="1:24" x14ac:dyDescent="0.3">
      <c r="A3" t="s">
        <v>33</v>
      </c>
      <c r="B3" t="s">
        <v>34</v>
      </c>
      <c r="C3">
        <v>14.843523275084339</v>
      </c>
      <c r="D3">
        <v>95</v>
      </c>
      <c r="E3">
        <v>736</v>
      </c>
      <c r="F3">
        <v>7460.9000654458487</v>
      </c>
      <c r="G3" t="s">
        <v>35</v>
      </c>
      <c r="H3">
        <v>53</v>
      </c>
      <c r="I3">
        <v>30</v>
      </c>
      <c r="J3">
        <v>37</v>
      </c>
      <c r="K3">
        <v>2</v>
      </c>
      <c r="L3" t="s">
        <v>36</v>
      </c>
      <c r="M3">
        <v>9.7165747714313095</v>
      </c>
      <c r="N3" t="s">
        <v>28</v>
      </c>
      <c r="O3" t="s">
        <v>29</v>
      </c>
      <c r="P3">
        <v>23</v>
      </c>
      <c r="Q3">
        <v>517</v>
      </c>
      <c r="R3">
        <v>30</v>
      </c>
      <c r="S3">
        <v>33.616768953730002</v>
      </c>
      <c r="T3" t="s">
        <v>30</v>
      </c>
      <c r="U3">
        <v>4.8540680263887062</v>
      </c>
      <c r="V3" t="s">
        <v>31</v>
      </c>
      <c r="W3" t="s">
        <v>32</v>
      </c>
      <c r="X3">
        <v>503.06557914966919</v>
      </c>
    </row>
    <row r="4" spans="1:24" x14ac:dyDescent="0.3">
      <c r="A4" t="s">
        <v>24</v>
      </c>
      <c r="B4" t="s">
        <v>37</v>
      </c>
      <c r="C4">
        <v>11.319683293090566</v>
      </c>
      <c r="D4">
        <v>34</v>
      </c>
      <c r="E4">
        <v>8</v>
      </c>
      <c r="F4">
        <v>9577.7496258687297</v>
      </c>
      <c r="G4" t="s">
        <v>38</v>
      </c>
      <c r="H4">
        <v>1</v>
      </c>
      <c r="I4">
        <v>10</v>
      </c>
      <c r="J4">
        <v>88</v>
      </c>
      <c r="K4">
        <v>2</v>
      </c>
      <c r="L4" t="s">
        <v>27</v>
      </c>
      <c r="M4">
        <v>8.0544792617321548</v>
      </c>
      <c r="N4" t="s">
        <v>39</v>
      </c>
      <c r="O4" t="s">
        <v>29</v>
      </c>
      <c r="P4">
        <v>12</v>
      </c>
      <c r="Q4">
        <v>971</v>
      </c>
      <c r="R4">
        <v>27</v>
      </c>
      <c r="S4">
        <v>30.688019348284204</v>
      </c>
      <c r="T4" t="s">
        <v>30</v>
      </c>
      <c r="U4">
        <v>4.580592619199229</v>
      </c>
      <c r="V4" t="s">
        <v>40</v>
      </c>
      <c r="W4" t="s">
        <v>41</v>
      </c>
      <c r="X4">
        <v>141.92028177151906</v>
      </c>
    </row>
    <row r="5" spans="1:24" x14ac:dyDescent="0.3">
      <c r="A5" t="s">
        <v>33</v>
      </c>
      <c r="B5" t="s">
        <v>42</v>
      </c>
      <c r="C5">
        <v>61.163343016437736</v>
      </c>
      <c r="D5">
        <v>68</v>
      </c>
      <c r="E5">
        <v>83</v>
      </c>
      <c r="F5">
        <v>7766.8364256852328</v>
      </c>
      <c r="G5" t="s">
        <v>26</v>
      </c>
      <c r="H5">
        <v>23</v>
      </c>
      <c r="I5">
        <v>13</v>
      </c>
      <c r="J5">
        <v>59</v>
      </c>
      <c r="K5">
        <v>6</v>
      </c>
      <c r="L5" t="s">
        <v>43</v>
      </c>
      <c r="M5">
        <v>1.7295685635434288</v>
      </c>
      <c r="N5" t="s">
        <v>44</v>
      </c>
      <c r="O5" t="s">
        <v>45</v>
      </c>
      <c r="P5">
        <v>24</v>
      </c>
      <c r="Q5">
        <v>937</v>
      </c>
      <c r="R5">
        <v>18</v>
      </c>
      <c r="S5">
        <v>35.624741397125028</v>
      </c>
      <c r="T5" t="s">
        <v>46</v>
      </c>
      <c r="U5">
        <v>4.7466486206477496</v>
      </c>
      <c r="V5" t="s">
        <v>47</v>
      </c>
      <c r="W5" t="s">
        <v>48</v>
      </c>
      <c r="X5">
        <v>254.77615921928663</v>
      </c>
    </row>
    <row r="6" spans="1:24" x14ac:dyDescent="0.3">
      <c r="A6" t="s">
        <v>33</v>
      </c>
      <c r="B6" t="s">
        <v>49</v>
      </c>
      <c r="C6">
        <v>4.8054960363458932</v>
      </c>
      <c r="D6">
        <v>26</v>
      </c>
      <c r="E6">
        <v>871</v>
      </c>
      <c r="F6">
        <v>2686.5051515674468</v>
      </c>
      <c r="G6" t="s">
        <v>26</v>
      </c>
      <c r="H6">
        <v>5</v>
      </c>
      <c r="I6">
        <v>3</v>
      </c>
      <c r="J6">
        <v>56</v>
      </c>
      <c r="K6">
        <v>8</v>
      </c>
      <c r="L6" t="s">
        <v>36</v>
      </c>
      <c r="M6">
        <v>3.8905479158706715</v>
      </c>
      <c r="N6" t="s">
        <v>39</v>
      </c>
      <c r="O6" t="s">
        <v>50</v>
      </c>
      <c r="P6">
        <v>5</v>
      </c>
      <c r="Q6">
        <v>414</v>
      </c>
      <c r="R6">
        <v>3</v>
      </c>
      <c r="S6">
        <v>92.065160598712851</v>
      </c>
      <c r="T6" t="s">
        <v>46</v>
      </c>
      <c r="U6">
        <v>3.1455795228330019</v>
      </c>
      <c r="V6" t="s">
        <v>40</v>
      </c>
      <c r="W6" t="s">
        <v>48</v>
      </c>
      <c r="X6">
        <v>923.44063171192215</v>
      </c>
    </row>
    <row r="7" spans="1:24" x14ac:dyDescent="0.3">
      <c r="A7" t="s">
        <v>24</v>
      </c>
      <c r="B7" t="s">
        <v>51</v>
      </c>
      <c r="C7">
        <v>1.6999760138659377</v>
      </c>
      <c r="D7">
        <v>87</v>
      </c>
      <c r="E7">
        <v>147</v>
      </c>
      <c r="F7">
        <v>2828.3487459757589</v>
      </c>
      <c r="G7" t="s">
        <v>26</v>
      </c>
      <c r="H7">
        <v>90</v>
      </c>
      <c r="I7">
        <v>27</v>
      </c>
      <c r="J7">
        <v>66</v>
      </c>
      <c r="K7">
        <v>3</v>
      </c>
      <c r="L7" t="s">
        <v>27</v>
      </c>
      <c r="M7">
        <v>4.4440988643822932</v>
      </c>
      <c r="N7" t="s">
        <v>52</v>
      </c>
      <c r="O7" t="s">
        <v>53</v>
      </c>
      <c r="P7">
        <v>10</v>
      </c>
      <c r="Q7">
        <v>104</v>
      </c>
      <c r="R7">
        <v>17</v>
      </c>
      <c r="S7">
        <v>56.766475557431797</v>
      </c>
      <c r="T7" t="s">
        <v>46</v>
      </c>
      <c r="U7">
        <v>2.7791935115711617</v>
      </c>
      <c r="V7" t="s">
        <v>31</v>
      </c>
      <c r="W7" t="s">
        <v>48</v>
      </c>
      <c r="X7">
        <v>235.46123673553751</v>
      </c>
    </row>
    <row r="8" spans="1:24" x14ac:dyDescent="0.3">
      <c r="A8" t="s">
        <v>33</v>
      </c>
      <c r="B8" t="s">
        <v>54</v>
      </c>
      <c r="C8">
        <v>4.0783328631079447</v>
      </c>
      <c r="D8">
        <v>48</v>
      </c>
      <c r="E8">
        <v>65</v>
      </c>
      <c r="F8">
        <v>7823.4765595317367</v>
      </c>
      <c r="G8" t="s">
        <v>55</v>
      </c>
      <c r="H8">
        <v>11</v>
      </c>
      <c r="I8">
        <v>15</v>
      </c>
      <c r="J8">
        <v>58</v>
      </c>
      <c r="K8">
        <v>8</v>
      </c>
      <c r="L8" t="s">
        <v>43</v>
      </c>
      <c r="M8">
        <v>3.8807633029520034</v>
      </c>
      <c r="N8" t="s">
        <v>28</v>
      </c>
      <c r="O8" t="s">
        <v>45</v>
      </c>
      <c r="P8">
        <v>14</v>
      </c>
      <c r="Q8">
        <v>314</v>
      </c>
      <c r="R8">
        <v>24</v>
      </c>
      <c r="S8">
        <v>1.0850685695870688</v>
      </c>
      <c r="T8" t="s">
        <v>30</v>
      </c>
      <c r="U8">
        <v>1.0009106193041357</v>
      </c>
      <c r="V8" t="s">
        <v>56</v>
      </c>
      <c r="W8" t="s">
        <v>48</v>
      </c>
      <c r="X8">
        <v>134.36909686103172</v>
      </c>
    </row>
    <row r="9" spans="1:24" x14ac:dyDescent="0.3">
      <c r="A9" t="s">
        <v>57</v>
      </c>
      <c r="B9" t="s">
        <v>58</v>
      </c>
      <c r="C9">
        <v>42.958384382460068</v>
      </c>
      <c r="D9">
        <v>59</v>
      </c>
      <c r="E9">
        <v>426</v>
      </c>
      <c r="F9">
        <v>8496.1038130898378</v>
      </c>
      <c r="G9" t="s">
        <v>35</v>
      </c>
      <c r="H9">
        <v>93</v>
      </c>
      <c r="I9">
        <v>17</v>
      </c>
      <c r="J9">
        <v>11</v>
      </c>
      <c r="K9">
        <v>1</v>
      </c>
      <c r="L9" t="s">
        <v>27</v>
      </c>
      <c r="M9">
        <v>2.3483387844177805</v>
      </c>
      <c r="N9" t="s">
        <v>52</v>
      </c>
      <c r="O9" t="s">
        <v>53</v>
      </c>
      <c r="P9">
        <v>22</v>
      </c>
      <c r="Q9">
        <v>564</v>
      </c>
      <c r="R9">
        <v>1</v>
      </c>
      <c r="S9">
        <v>99.466108603599125</v>
      </c>
      <c r="T9" t="s">
        <v>46</v>
      </c>
      <c r="U9">
        <v>0.39817718685065062</v>
      </c>
      <c r="V9" t="s">
        <v>31</v>
      </c>
      <c r="W9" t="s">
        <v>41</v>
      </c>
      <c r="X9">
        <v>802.05631181755859</v>
      </c>
    </row>
    <row r="10" spans="1:24" x14ac:dyDescent="0.3">
      <c r="A10" t="s">
        <v>57</v>
      </c>
      <c r="B10" t="s">
        <v>59</v>
      </c>
      <c r="C10">
        <v>68.717596748527328</v>
      </c>
      <c r="D10">
        <v>78</v>
      </c>
      <c r="E10">
        <v>150</v>
      </c>
      <c r="F10">
        <v>7517.363210631127</v>
      </c>
      <c r="G10" t="s">
        <v>35</v>
      </c>
      <c r="H10">
        <v>5</v>
      </c>
      <c r="I10">
        <v>10</v>
      </c>
      <c r="J10">
        <v>15</v>
      </c>
      <c r="K10">
        <v>7</v>
      </c>
      <c r="L10" t="s">
        <v>43</v>
      </c>
      <c r="M10">
        <v>3.4047338570830266</v>
      </c>
      <c r="N10" t="s">
        <v>52</v>
      </c>
      <c r="O10" t="s">
        <v>29</v>
      </c>
      <c r="P10">
        <v>13</v>
      </c>
      <c r="Q10">
        <v>769</v>
      </c>
      <c r="R10">
        <v>8</v>
      </c>
      <c r="S10">
        <v>11.423027139565695</v>
      </c>
      <c r="T10" t="s">
        <v>30</v>
      </c>
      <c r="U10">
        <v>2.7098626911099615</v>
      </c>
      <c r="V10" t="s">
        <v>56</v>
      </c>
      <c r="W10" t="s">
        <v>32</v>
      </c>
      <c r="X10">
        <v>505.55713422546415</v>
      </c>
    </row>
    <row r="11" spans="1:24" x14ac:dyDescent="0.3">
      <c r="A11" t="s">
        <v>33</v>
      </c>
      <c r="B11" t="s">
        <v>60</v>
      </c>
      <c r="C11">
        <v>64.015732941278543</v>
      </c>
      <c r="D11">
        <v>35</v>
      </c>
      <c r="E11">
        <v>980</v>
      </c>
      <c r="F11">
        <v>4971.145987585558</v>
      </c>
      <c r="G11" t="s">
        <v>38</v>
      </c>
      <c r="H11">
        <v>14</v>
      </c>
      <c r="I11">
        <v>27</v>
      </c>
      <c r="J11">
        <v>83</v>
      </c>
      <c r="K11">
        <v>1</v>
      </c>
      <c r="L11" t="s">
        <v>36</v>
      </c>
      <c r="M11">
        <v>7.1666452910482157</v>
      </c>
      <c r="N11" t="s">
        <v>61</v>
      </c>
      <c r="O11" t="s">
        <v>62</v>
      </c>
      <c r="P11">
        <v>29</v>
      </c>
      <c r="Q11">
        <v>963</v>
      </c>
      <c r="R11">
        <v>23</v>
      </c>
      <c r="S11">
        <v>47.95760163495158</v>
      </c>
      <c r="T11" t="s">
        <v>30</v>
      </c>
      <c r="U11">
        <v>3.8446144787675851</v>
      </c>
      <c r="V11" t="s">
        <v>47</v>
      </c>
      <c r="W11" t="s">
        <v>32</v>
      </c>
      <c r="X11">
        <v>995.92946149864167</v>
      </c>
    </row>
    <row r="12" spans="1:24" x14ac:dyDescent="0.3">
      <c r="A12" t="s">
        <v>33</v>
      </c>
      <c r="B12" t="s">
        <v>63</v>
      </c>
      <c r="C12">
        <v>15.707795681912138</v>
      </c>
      <c r="D12">
        <v>11</v>
      </c>
      <c r="E12">
        <v>996</v>
      </c>
      <c r="F12">
        <v>2330.9658020919492</v>
      </c>
      <c r="G12" t="s">
        <v>26</v>
      </c>
      <c r="H12">
        <v>51</v>
      </c>
      <c r="I12">
        <v>13</v>
      </c>
      <c r="J12">
        <v>80</v>
      </c>
      <c r="K12">
        <v>2</v>
      </c>
      <c r="L12" t="s">
        <v>43</v>
      </c>
      <c r="M12">
        <v>8.6732112112786126</v>
      </c>
      <c r="N12" t="s">
        <v>44</v>
      </c>
      <c r="O12" t="s">
        <v>45</v>
      </c>
      <c r="P12">
        <v>18</v>
      </c>
      <c r="Q12">
        <v>830</v>
      </c>
      <c r="R12">
        <v>5</v>
      </c>
      <c r="S12">
        <v>96.52735278531091</v>
      </c>
      <c r="T12" t="s">
        <v>64</v>
      </c>
      <c r="U12">
        <v>1.7273139283559424</v>
      </c>
      <c r="V12" t="s">
        <v>31</v>
      </c>
      <c r="W12" t="s">
        <v>32</v>
      </c>
      <c r="X12">
        <v>806.10317770292295</v>
      </c>
    </row>
    <row r="13" spans="1:24" x14ac:dyDescent="0.3">
      <c r="A13" t="s">
        <v>33</v>
      </c>
      <c r="B13" t="s">
        <v>65</v>
      </c>
      <c r="C13">
        <v>90.635459982288666</v>
      </c>
      <c r="D13">
        <v>95</v>
      </c>
      <c r="E13">
        <v>960</v>
      </c>
      <c r="F13">
        <v>6099.944115581452</v>
      </c>
      <c r="G13" t="s">
        <v>35</v>
      </c>
      <c r="H13">
        <v>46</v>
      </c>
      <c r="I13">
        <v>23</v>
      </c>
      <c r="J13">
        <v>60</v>
      </c>
      <c r="K13">
        <v>1</v>
      </c>
      <c r="L13" t="s">
        <v>36</v>
      </c>
      <c r="M13">
        <v>4.5239431243166628</v>
      </c>
      <c r="N13" t="s">
        <v>61</v>
      </c>
      <c r="O13" t="s">
        <v>45</v>
      </c>
      <c r="P13">
        <v>28</v>
      </c>
      <c r="Q13">
        <v>362</v>
      </c>
      <c r="R13">
        <v>11</v>
      </c>
      <c r="S13">
        <v>27.592363086663696</v>
      </c>
      <c r="T13" t="s">
        <v>30</v>
      </c>
      <c r="U13">
        <v>2.1169821372994391E-2</v>
      </c>
      <c r="V13" t="s">
        <v>40</v>
      </c>
      <c r="W13" t="s">
        <v>48</v>
      </c>
      <c r="X13">
        <v>126.72303340940725</v>
      </c>
    </row>
    <row r="14" spans="1:24" x14ac:dyDescent="0.3">
      <c r="A14" t="s">
        <v>24</v>
      </c>
      <c r="B14" t="s">
        <v>66</v>
      </c>
      <c r="C14">
        <v>71.213389075360084</v>
      </c>
      <c r="D14">
        <v>41</v>
      </c>
      <c r="E14">
        <v>336</v>
      </c>
      <c r="F14">
        <v>2873.7414460214413</v>
      </c>
      <c r="G14" t="s">
        <v>38</v>
      </c>
      <c r="H14">
        <v>100</v>
      </c>
      <c r="I14">
        <v>30</v>
      </c>
      <c r="J14">
        <v>85</v>
      </c>
      <c r="K14">
        <v>4</v>
      </c>
      <c r="L14" t="s">
        <v>36</v>
      </c>
      <c r="M14">
        <v>1.325274010184522</v>
      </c>
      <c r="N14" t="s">
        <v>52</v>
      </c>
      <c r="O14" t="s">
        <v>45</v>
      </c>
      <c r="P14">
        <v>3</v>
      </c>
      <c r="Q14">
        <v>563</v>
      </c>
      <c r="R14">
        <v>3</v>
      </c>
      <c r="S14">
        <v>32.321286213424031</v>
      </c>
      <c r="T14" t="s">
        <v>46</v>
      </c>
      <c r="U14">
        <v>2.1612537475559117</v>
      </c>
      <c r="V14" t="s">
        <v>31</v>
      </c>
      <c r="W14" t="s">
        <v>32</v>
      </c>
      <c r="X14">
        <v>402.96878907377061</v>
      </c>
    </row>
    <row r="15" spans="1:24" x14ac:dyDescent="0.3">
      <c r="A15" t="s">
        <v>33</v>
      </c>
      <c r="B15" t="s">
        <v>67</v>
      </c>
      <c r="C15">
        <v>16.160393317379977</v>
      </c>
      <c r="D15">
        <v>5</v>
      </c>
      <c r="E15">
        <v>249</v>
      </c>
      <c r="F15">
        <v>4052.7384162378667</v>
      </c>
      <c r="G15" t="s">
        <v>55</v>
      </c>
      <c r="H15">
        <v>80</v>
      </c>
      <c r="I15">
        <v>8</v>
      </c>
      <c r="J15">
        <v>48</v>
      </c>
      <c r="K15">
        <v>9</v>
      </c>
      <c r="L15" t="s">
        <v>36</v>
      </c>
      <c r="M15">
        <v>9.5372830611083383</v>
      </c>
      <c r="N15" t="s">
        <v>44</v>
      </c>
      <c r="O15" t="s">
        <v>53</v>
      </c>
      <c r="P15">
        <v>23</v>
      </c>
      <c r="Q15">
        <v>173</v>
      </c>
      <c r="R15">
        <v>10</v>
      </c>
      <c r="S15">
        <v>97.82905011017327</v>
      </c>
      <c r="T15" t="s">
        <v>30</v>
      </c>
      <c r="U15">
        <v>1.6310742300715386</v>
      </c>
      <c r="V15" t="s">
        <v>31</v>
      </c>
      <c r="W15" t="s">
        <v>32</v>
      </c>
      <c r="X15">
        <v>547.24100516096848</v>
      </c>
    </row>
    <row r="16" spans="1:24" x14ac:dyDescent="0.3">
      <c r="A16" t="s">
        <v>33</v>
      </c>
      <c r="B16" t="s">
        <v>68</v>
      </c>
      <c r="C16">
        <v>99.171328638624189</v>
      </c>
      <c r="D16">
        <v>26</v>
      </c>
      <c r="E16">
        <v>562</v>
      </c>
      <c r="F16">
        <v>8653.5709264698016</v>
      </c>
      <c r="G16" t="s">
        <v>26</v>
      </c>
      <c r="H16">
        <v>54</v>
      </c>
      <c r="I16">
        <v>29</v>
      </c>
      <c r="J16">
        <v>78</v>
      </c>
      <c r="K16">
        <v>5</v>
      </c>
      <c r="L16" t="s">
        <v>27</v>
      </c>
      <c r="M16">
        <v>2.0397701894493316</v>
      </c>
      <c r="N16" t="s">
        <v>39</v>
      </c>
      <c r="O16" t="s">
        <v>45</v>
      </c>
      <c r="P16">
        <v>25</v>
      </c>
      <c r="Q16">
        <v>558</v>
      </c>
      <c r="R16">
        <v>14</v>
      </c>
      <c r="S16">
        <v>5.7914366298629893</v>
      </c>
      <c r="T16" t="s">
        <v>30</v>
      </c>
      <c r="U16">
        <v>0.10068285156509371</v>
      </c>
      <c r="V16" t="s">
        <v>40</v>
      </c>
      <c r="W16" t="s">
        <v>32</v>
      </c>
      <c r="X16">
        <v>929.23528996088965</v>
      </c>
    </row>
    <row r="17" spans="1:24" x14ac:dyDescent="0.3">
      <c r="A17" t="s">
        <v>33</v>
      </c>
      <c r="B17" t="s">
        <v>69</v>
      </c>
      <c r="C17">
        <v>36.98924492862691</v>
      </c>
      <c r="D17">
        <v>94</v>
      </c>
      <c r="E17">
        <v>469</v>
      </c>
      <c r="F17">
        <v>5442.0867853976733</v>
      </c>
      <c r="G17" t="s">
        <v>26</v>
      </c>
      <c r="H17">
        <v>9</v>
      </c>
      <c r="I17">
        <v>8</v>
      </c>
      <c r="J17">
        <v>69</v>
      </c>
      <c r="K17">
        <v>7</v>
      </c>
      <c r="L17" t="s">
        <v>27</v>
      </c>
      <c r="M17">
        <v>2.4220397232752044</v>
      </c>
      <c r="N17" t="s">
        <v>39</v>
      </c>
      <c r="O17" t="s">
        <v>53</v>
      </c>
      <c r="P17">
        <v>14</v>
      </c>
      <c r="Q17">
        <v>580</v>
      </c>
      <c r="R17">
        <v>7</v>
      </c>
      <c r="S17">
        <v>97.121281751474314</v>
      </c>
      <c r="T17" t="s">
        <v>64</v>
      </c>
      <c r="U17">
        <v>2.2644057611985491</v>
      </c>
      <c r="V17" t="s">
        <v>56</v>
      </c>
      <c r="W17" t="s">
        <v>32</v>
      </c>
      <c r="X17">
        <v>127.86180000162541</v>
      </c>
    </row>
    <row r="18" spans="1:24" x14ac:dyDescent="0.3">
      <c r="A18" t="s">
        <v>33</v>
      </c>
      <c r="B18" t="s">
        <v>70</v>
      </c>
      <c r="C18">
        <v>7.5471721097912718</v>
      </c>
      <c r="D18">
        <v>74</v>
      </c>
      <c r="E18">
        <v>280</v>
      </c>
      <c r="F18">
        <v>6453.7979681762854</v>
      </c>
      <c r="G18" t="s">
        <v>35</v>
      </c>
      <c r="H18">
        <v>2</v>
      </c>
      <c r="I18">
        <v>5</v>
      </c>
      <c r="J18">
        <v>78</v>
      </c>
      <c r="K18">
        <v>1</v>
      </c>
      <c r="L18" t="s">
        <v>27</v>
      </c>
      <c r="M18">
        <v>4.1913245857055017</v>
      </c>
      <c r="N18" t="s">
        <v>39</v>
      </c>
      <c r="O18" t="s">
        <v>53</v>
      </c>
      <c r="P18">
        <v>3</v>
      </c>
      <c r="Q18">
        <v>399</v>
      </c>
      <c r="R18">
        <v>21</v>
      </c>
      <c r="S18">
        <v>77.106342497850008</v>
      </c>
      <c r="T18" t="s">
        <v>64</v>
      </c>
      <c r="U18">
        <v>1.0125630892580491</v>
      </c>
      <c r="V18" t="s">
        <v>40</v>
      </c>
      <c r="W18" t="s">
        <v>48</v>
      </c>
      <c r="X18">
        <v>865.52577977124031</v>
      </c>
    </row>
    <row r="19" spans="1:24" x14ac:dyDescent="0.3">
      <c r="A19" t="s">
        <v>57</v>
      </c>
      <c r="B19" t="s">
        <v>71</v>
      </c>
      <c r="C19">
        <v>81.462534369237019</v>
      </c>
      <c r="D19">
        <v>82</v>
      </c>
      <c r="E19">
        <v>126</v>
      </c>
      <c r="F19">
        <v>2629.3964348452619</v>
      </c>
      <c r="G19" t="s">
        <v>35</v>
      </c>
      <c r="H19">
        <v>45</v>
      </c>
      <c r="I19">
        <v>17</v>
      </c>
      <c r="J19">
        <v>85</v>
      </c>
      <c r="K19">
        <v>9</v>
      </c>
      <c r="L19" t="s">
        <v>43</v>
      </c>
      <c r="M19">
        <v>3.5854189582323421</v>
      </c>
      <c r="N19" t="s">
        <v>39</v>
      </c>
      <c r="O19" t="s">
        <v>62</v>
      </c>
      <c r="P19">
        <v>7</v>
      </c>
      <c r="Q19">
        <v>453</v>
      </c>
      <c r="R19">
        <v>16</v>
      </c>
      <c r="S19">
        <v>47.679680368355335</v>
      </c>
      <c r="T19" t="s">
        <v>46</v>
      </c>
      <c r="U19">
        <v>0.10202075491817619</v>
      </c>
      <c r="V19" t="s">
        <v>40</v>
      </c>
      <c r="W19" t="s">
        <v>41</v>
      </c>
      <c r="X19">
        <v>670.93439079241034</v>
      </c>
    </row>
    <row r="20" spans="1:24" x14ac:dyDescent="0.3">
      <c r="A20" t="s">
        <v>24</v>
      </c>
      <c r="B20" t="s">
        <v>72</v>
      </c>
      <c r="C20">
        <v>36.443627770460935</v>
      </c>
      <c r="D20">
        <v>23</v>
      </c>
      <c r="E20">
        <v>620</v>
      </c>
      <c r="F20">
        <v>9364.6735050761727</v>
      </c>
      <c r="G20" t="s">
        <v>38</v>
      </c>
      <c r="H20">
        <v>10</v>
      </c>
      <c r="I20">
        <v>10</v>
      </c>
      <c r="J20">
        <v>46</v>
      </c>
      <c r="K20">
        <v>8</v>
      </c>
      <c r="L20" t="s">
        <v>43</v>
      </c>
      <c r="M20">
        <v>4.339224714110709</v>
      </c>
      <c r="N20" t="s">
        <v>61</v>
      </c>
      <c r="O20" t="s">
        <v>45</v>
      </c>
      <c r="P20">
        <v>18</v>
      </c>
      <c r="Q20">
        <v>374</v>
      </c>
      <c r="R20">
        <v>17</v>
      </c>
      <c r="S20">
        <v>27.10798085484392</v>
      </c>
      <c r="T20" t="s">
        <v>30</v>
      </c>
      <c r="U20">
        <v>2.2319391107292637</v>
      </c>
      <c r="V20" t="s">
        <v>56</v>
      </c>
      <c r="W20" t="s">
        <v>48</v>
      </c>
      <c r="X20">
        <v>593.48025872065182</v>
      </c>
    </row>
    <row r="21" spans="1:24" x14ac:dyDescent="0.3">
      <c r="A21" t="s">
        <v>33</v>
      </c>
      <c r="B21" t="s">
        <v>73</v>
      </c>
      <c r="C21">
        <v>51.12387008796474</v>
      </c>
      <c r="D21">
        <v>100</v>
      </c>
      <c r="E21">
        <v>187</v>
      </c>
      <c r="F21">
        <v>2553.4955849912149</v>
      </c>
      <c r="G21" t="s">
        <v>38</v>
      </c>
      <c r="H21">
        <v>48</v>
      </c>
      <c r="I21">
        <v>11</v>
      </c>
      <c r="J21">
        <v>94</v>
      </c>
      <c r="K21">
        <v>3</v>
      </c>
      <c r="L21" t="s">
        <v>36</v>
      </c>
      <c r="M21">
        <v>4.7426358828418769</v>
      </c>
      <c r="N21" t="s">
        <v>52</v>
      </c>
      <c r="O21" t="s">
        <v>62</v>
      </c>
      <c r="P21">
        <v>20</v>
      </c>
      <c r="Q21">
        <v>694</v>
      </c>
      <c r="R21">
        <v>16</v>
      </c>
      <c r="S21">
        <v>82.373320587990207</v>
      </c>
      <c r="T21" t="s">
        <v>46</v>
      </c>
      <c r="U21">
        <v>3.6464508654170293</v>
      </c>
      <c r="V21" t="s">
        <v>31</v>
      </c>
      <c r="W21" t="s">
        <v>41</v>
      </c>
      <c r="X21">
        <v>477.30763109090344</v>
      </c>
    </row>
    <row r="22" spans="1:24" x14ac:dyDescent="0.3">
      <c r="A22" t="s">
        <v>33</v>
      </c>
      <c r="B22" t="s">
        <v>74</v>
      </c>
      <c r="C22">
        <v>96.341072439963384</v>
      </c>
      <c r="D22">
        <v>22</v>
      </c>
      <c r="E22">
        <v>320</v>
      </c>
      <c r="F22">
        <v>8128.0276968511916</v>
      </c>
      <c r="G22" t="s">
        <v>38</v>
      </c>
      <c r="H22">
        <v>27</v>
      </c>
      <c r="I22">
        <v>12</v>
      </c>
      <c r="J22">
        <v>68</v>
      </c>
      <c r="K22">
        <v>6</v>
      </c>
      <c r="L22" t="s">
        <v>36</v>
      </c>
      <c r="M22">
        <v>8.8783346509268402</v>
      </c>
      <c r="N22" t="s">
        <v>39</v>
      </c>
      <c r="O22" t="s">
        <v>62</v>
      </c>
      <c r="P22">
        <v>29</v>
      </c>
      <c r="Q22">
        <v>309</v>
      </c>
      <c r="R22">
        <v>6</v>
      </c>
      <c r="S22">
        <v>65.686259608488626</v>
      </c>
      <c r="T22" t="s">
        <v>64</v>
      </c>
      <c r="U22">
        <v>4.2314165735345393</v>
      </c>
      <c r="V22" t="s">
        <v>40</v>
      </c>
      <c r="W22" t="s">
        <v>32</v>
      </c>
      <c r="X22">
        <v>493.87121531620585</v>
      </c>
    </row>
    <row r="23" spans="1:24" x14ac:dyDescent="0.3">
      <c r="A23" t="s">
        <v>57</v>
      </c>
      <c r="B23" t="s">
        <v>75</v>
      </c>
      <c r="C23">
        <v>84.893868984950828</v>
      </c>
      <c r="D23">
        <v>60</v>
      </c>
      <c r="E23">
        <v>601</v>
      </c>
      <c r="F23">
        <v>7087.0526963574366</v>
      </c>
      <c r="G23" t="s">
        <v>38</v>
      </c>
      <c r="H23">
        <v>69</v>
      </c>
      <c r="I23">
        <v>25</v>
      </c>
      <c r="J23">
        <v>7</v>
      </c>
      <c r="K23">
        <v>6</v>
      </c>
      <c r="L23" t="s">
        <v>27</v>
      </c>
      <c r="M23">
        <v>6.0378837692182978</v>
      </c>
      <c r="N23" t="s">
        <v>44</v>
      </c>
      <c r="O23" t="s">
        <v>62</v>
      </c>
      <c r="P23">
        <v>19</v>
      </c>
      <c r="Q23">
        <v>791</v>
      </c>
      <c r="R23">
        <v>4</v>
      </c>
      <c r="S23">
        <v>61.735728954160933</v>
      </c>
      <c r="T23" t="s">
        <v>30</v>
      </c>
      <c r="U23">
        <v>1.8607567631014899E-2</v>
      </c>
      <c r="V23" t="s">
        <v>40</v>
      </c>
      <c r="W23" t="s">
        <v>41</v>
      </c>
      <c r="X23">
        <v>523.36091472015801</v>
      </c>
    </row>
    <row r="24" spans="1:24" x14ac:dyDescent="0.3">
      <c r="A24" t="s">
        <v>24</v>
      </c>
      <c r="B24" t="s">
        <v>76</v>
      </c>
      <c r="C24">
        <v>27.679780886501959</v>
      </c>
      <c r="D24">
        <v>55</v>
      </c>
      <c r="E24">
        <v>884</v>
      </c>
      <c r="F24">
        <v>2390.8078665561734</v>
      </c>
      <c r="G24" t="s">
        <v>38</v>
      </c>
      <c r="H24">
        <v>71</v>
      </c>
      <c r="I24">
        <v>1</v>
      </c>
      <c r="J24">
        <v>63</v>
      </c>
      <c r="K24">
        <v>10</v>
      </c>
      <c r="L24" t="s">
        <v>36</v>
      </c>
      <c r="M24">
        <v>9.5676489209230393</v>
      </c>
      <c r="N24" t="s">
        <v>52</v>
      </c>
      <c r="O24" t="s">
        <v>45</v>
      </c>
      <c r="P24">
        <v>22</v>
      </c>
      <c r="Q24">
        <v>780</v>
      </c>
      <c r="R24">
        <v>28</v>
      </c>
      <c r="S24">
        <v>50.120839612977349</v>
      </c>
      <c r="T24" t="s">
        <v>46</v>
      </c>
      <c r="U24">
        <v>2.5912754732111161</v>
      </c>
      <c r="V24" t="s">
        <v>47</v>
      </c>
      <c r="W24" t="s">
        <v>41</v>
      </c>
      <c r="X24">
        <v>205.57199582694707</v>
      </c>
    </row>
    <row r="25" spans="1:24" x14ac:dyDescent="0.3">
      <c r="A25" t="s">
        <v>57</v>
      </c>
      <c r="B25" t="s">
        <v>77</v>
      </c>
      <c r="C25">
        <v>4.3243411858641636</v>
      </c>
      <c r="D25">
        <v>30</v>
      </c>
      <c r="E25">
        <v>391</v>
      </c>
      <c r="F25">
        <v>8858.367571011484</v>
      </c>
      <c r="G25" t="s">
        <v>38</v>
      </c>
      <c r="H25">
        <v>84</v>
      </c>
      <c r="I25">
        <v>5</v>
      </c>
      <c r="J25">
        <v>29</v>
      </c>
      <c r="K25">
        <v>7</v>
      </c>
      <c r="L25" t="s">
        <v>36</v>
      </c>
      <c r="M25">
        <v>2.924857601145554</v>
      </c>
      <c r="N25" t="s">
        <v>44</v>
      </c>
      <c r="O25" t="s">
        <v>45</v>
      </c>
      <c r="P25">
        <v>11</v>
      </c>
      <c r="Q25">
        <v>568</v>
      </c>
      <c r="R25">
        <v>29</v>
      </c>
      <c r="S25">
        <v>98.609957242703871</v>
      </c>
      <c r="T25" t="s">
        <v>30</v>
      </c>
      <c r="U25">
        <v>1.3422915627227339</v>
      </c>
      <c r="V25" t="s">
        <v>47</v>
      </c>
      <c r="W25" t="s">
        <v>48</v>
      </c>
      <c r="X25">
        <v>196.32944611241268</v>
      </c>
    </row>
    <row r="26" spans="1:24" x14ac:dyDescent="0.3">
      <c r="A26" t="s">
        <v>24</v>
      </c>
      <c r="B26" t="s">
        <v>78</v>
      </c>
      <c r="C26">
        <v>4.1563083593111081</v>
      </c>
      <c r="D26">
        <v>32</v>
      </c>
      <c r="E26">
        <v>209</v>
      </c>
      <c r="F26">
        <v>9049.0778609398967</v>
      </c>
      <c r="G26" t="s">
        <v>55</v>
      </c>
      <c r="H26">
        <v>4</v>
      </c>
      <c r="I26">
        <v>26</v>
      </c>
      <c r="J26">
        <v>2</v>
      </c>
      <c r="K26">
        <v>8</v>
      </c>
      <c r="L26" t="s">
        <v>43</v>
      </c>
      <c r="M26">
        <v>9.7412916892843686</v>
      </c>
      <c r="N26" t="s">
        <v>61</v>
      </c>
      <c r="O26" t="s">
        <v>53</v>
      </c>
      <c r="P26">
        <v>28</v>
      </c>
      <c r="Q26">
        <v>447</v>
      </c>
      <c r="R26">
        <v>3</v>
      </c>
      <c r="S26">
        <v>40.382359702924816</v>
      </c>
      <c r="T26" t="s">
        <v>30</v>
      </c>
      <c r="U26">
        <v>3.691310292628728</v>
      </c>
      <c r="V26" t="s">
        <v>40</v>
      </c>
      <c r="W26" t="s">
        <v>48</v>
      </c>
      <c r="X26">
        <v>758.72477260293829</v>
      </c>
    </row>
    <row r="27" spans="1:24" x14ac:dyDescent="0.3">
      <c r="A27" t="s">
        <v>24</v>
      </c>
      <c r="B27" t="s">
        <v>79</v>
      </c>
      <c r="C27">
        <v>39.629343985092625</v>
      </c>
      <c r="D27">
        <v>73</v>
      </c>
      <c r="E27">
        <v>142</v>
      </c>
      <c r="F27">
        <v>2174.777054350654</v>
      </c>
      <c r="G27" t="s">
        <v>55</v>
      </c>
      <c r="H27">
        <v>82</v>
      </c>
      <c r="I27">
        <v>11</v>
      </c>
      <c r="J27">
        <v>52</v>
      </c>
      <c r="K27">
        <v>3</v>
      </c>
      <c r="L27" t="s">
        <v>43</v>
      </c>
      <c r="M27">
        <v>2.2310736812817278</v>
      </c>
      <c r="N27" t="s">
        <v>52</v>
      </c>
      <c r="O27" t="s">
        <v>45</v>
      </c>
      <c r="P27">
        <v>19</v>
      </c>
      <c r="Q27">
        <v>934</v>
      </c>
      <c r="R27">
        <v>23</v>
      </c>
      <c r="S27">
        <v>78.280383118415386</v>
      </c>
      <c r="T27" t="s">
        <v>30</v>
      </c>
      <c r="U27">
        <v>3.7972312171141831</v>
      </c>
      <c r="V27" t="s">
        <v>31</v>
      </c>
      <c r="W27" t="s">
        <v>32</v>
      </c>
      <c r="X27">
        <v>458.53594573920907</v>
      </c>
    </row>
    <row r="28" spans="1:24" x14ac:dyDescent="0.3">
      <c r="A28" t="s">
        <v>24</v>
      </c>
      <c r="B28" t="s">
        <v>80</v>
      </c>
      <c r="C28">
        <v>97.44694661789282</v>
      </c>
      <c r="D28">
        <v>9</v>
      </c>
      <c r="E28">
        <v>353</v>
      </c>
      <c r="F28">
        <v>3716.4933258940368</v>
      </c>
      <c r="G28" t="s">
        <v>55</v>
      </c>
      <c r="H28">
        <v>59</v>
      </c>
      <c r="I28">
        <v>16</v>
      </c>
      <c r="J28">
        <v>48</v>
      </c>
      <c r="K28">
        <v>4</v>
      </c>
      <c r="L28" t="s">
        <v>27</v>
      </c>
      <c r="M28">
        <v>6.5075486210785511</v>
      </c>
      <c r="N28" t="s">
        <v>61</v>
      </c>
      <c r="O28" t="s">
        <v>53</v>
      </c>
      <c r="P28">
        <v>26</v>
      </c>
      <c r="Q28">
        <v>171</v>
      </c>
      <c r="R28">
        <v>4</v>
      </c>
      <c r="S28">
        <v>15.972229757181761</v>
      </c>
      <c r="T28" t="s">
        <v>64</v>
      </c>
      <c r="U28">
        <v>2.1193197367249228</v>
      </c>
      <c r="V28" t="s">
        <v>47</v>
      </c>
      <c r="W28" t="s">
        <v>48</v>
      </c>
      <c r="X28">
        <v>617.8669164583772</v>
      </c>
    </row>
    <row r="29" spans="1:24" x14ac:dyDescent="0.3">
      <c r="A29" t="s">
        <v>57</v>
      </c>
      <c r="B29" t="s">
        <v>81</v>
      </c>
      <c r="C29">
        <v>92.557360812402024</v>
      </c>
      <c r="D29">
        <v>42</v>
      </c>
      <c r="E29">
        <v>352</v>
      </c>
      <c r="F29">
        <v>2686.4572235759833</v>
      </c>
      <c r="G29" t="s">
        <v>38</v>
      </c>
      <c r="H29">
        <v>47</v>
      </c>
      <c r="I29">
        <v>9</v>
      </c>
      <c r="J29">
        <v>62</v>
      </c>
      <c r="K29">
        <v>8</v>
      </c>
      <c r="L29" t="s">
        <v>43</v>
      </c>
      <c r="M29">
        <v>7.406750952998074</v>
      </c>
      <c r="N29" t="s">
        <v>44</v>
      </c>
      <c r="O29" t="s">
        <v>29</v>
      </c>
      <c r="P29">
        <v>25</v>
      </c>
      <c r="Q29">
        <v>291</v>
      </c>
      <c r="R29">
        <v>4</v>
      </c>
      <c r="S29">
        <v>10.528245070042162</v>
      </c>
      <c r="T29" t="s">
        <v>46</v>
      </c>
      <c r="U29">
        <v>2.8646678378833732</v>
      </c>
      <c r="V29" t="s">
        <v>56</v>
      </c>
      <c r="W29" t="s">
        <v>32</v>
      </c>
      <c r="X29">
        <v>762.45918215568372</v>
      </c>
    </row>
    <row r="30" spans="1:24" x14ac:dyDescent="0.3">
      <c r="A30" t="s">
        <v>57</v>
      </c>
      <c r="B30" t="s">
        <v>82</v>
      </c>
      <c r="C30">
        <v>2.3972747055971411</v>
      </c>
      <c r="D30">
        <v>12</v>
      </c>
      <c r="E30">
        <v>394</v>
      </c>
      <c r="F30">
        <v>6117.3246150839923</v>
      </c>
      <c r="G30" t="s">
        <v>35</v>
      </c>
      <c r="H30">
        <v>48</v>
      </c>
      <c r="I30">
        <v>15</v>
      </c>
      <c r="J30">
        <v>24</v>
      </c>
      <c r="K30">
        <v>4</v>
      </c>
      <c r="L30" t="s">
        <v>27</v>
      </c>
      <c r="M30">
        <v>9.898140508069222</v>
      </c>
      <c r="N30" t="s">
        <v>39</v>
      </c>
      <c r="O30" t="s">
        <v>29</v>
      </c>
      <c r="P30">
        <v>13</v>
      </c>
      <c r="Q30">
        <v>171</v>
      </c>
      <c r="R30">
        <v>7</v>
      </c>
      <c r="S30">
        <v>59.429381810691567</v>
      </c>
      <c r="T30" t="s">
        <v>46</v>
      </c>
      <c r="U30">
        <v>0.81575707929567198</v>
      </c>
      <c r="V30" t="s">
        <v>40</v>
      </c>
      <c r="W30" t="s">
        <v>48</v>
      </c>
      <c r="X30">
        <v>123.43702751182708</v>
      </c>
    </row>
    <row r="31" spans="1:24" x14ac:dyDescent="0.3">
      <c r="A31" t="s">
        <v>57</v>
      </c>
      <c r="B31" t="s">
        <v>83</v>
      </c>
      <c r="C31">
        <v>63.447559185207332</v>
      </c>
      <c r="D31">
        <v>3</v>
      </c>
      <c r="E31">
        <v>253</v>
      </c>
      <c r="F31">
        <v>8318.9031946171781</v>
      </c>
      <c r="G31" t="s">
        <v>35</v>
      </c>
      <c r="H31">
        <v>45</v>
      </c>
      <c r="I31">
        <v>5</v>
      </c>
      <c r="J31">
        <v>67</v>
      </c>
      <c r="K31">
        <v>7</v>
      </c>
      <c r="L31" t="s">
        <v>27</v>
      </c>
      <c r="M31">
        <v>8.1009731453970311</v>
      </c>
      <c r="N31" t="s">
        <v>39</v>
      </c>
      <c r="O31" t="s">
        <v>45</v>
      </c>
      <c r="P31">
        <v>16</v>
      </c>
      <c r="Q31">
        <v>329</v>
      </c>
      <c r="R31">
        <v>7</v>
      </c>
      <c r="S31">
        <v>39.292875586065747</v>
      </c>
      <c r="T31" t="s">
        <v>64</v>
      </c>
      <c r="U31">
        <v>3.8780989365884881</v>
      </c>
      <c r="V31" t="s">
        <v>31</v>
      </c>
      <c r="W31" t="s">
        <v>32</v>
      </c>
      <c r="X31">
        <v>764.93537594070813</v>
      </c>
    </row>
    <row r="32" spans="1:24" x14ac:dyDescent="0.3">
      <c r="A32" t="s">
        <v>24</v>
      </c>
      <c r="B32" t="s">
        <v>84</v>
      </c>
      <c r="C32">
        <v>8.0228592105263932</v>
      </c>
      <c r="D32">
        <v>10</v>
      </c>
      <c r="E32">
        <v>327</v>
      </c>
      <c r="F32">
        <v>2766.3423668660889</v>
      </c>
      <c r="G32" t="s">
        <v>55</v>
      </c>
      <c r="H32">
        <v>60</v>
      </c>
      <c r="I32">
        <v>26</v>
      </c>
      <c r="J32">
        <v>35</v>
      </c>
      <c r="K32">
        <v>7</v>
      </c>
      <c r="L32" t="s">
        <v>27</v>
      </c>
      <c r="M32">
        <v>8.9545283153180151</v>
      </c>
      <c r="N32" t="s">
        <v>52</v>
      </c>
      <c r="O32" t="s">
        <v>45</v>
      </c>
      <c r="P32">
        <v>27</v>
      </c>
      <c r="Q32">
        <v>806</v>
      </c>
      <c r="R32">
        <v>30</v>
      </c>
      <c r="S32">
        <v>51.634893400109334</v>
      </c>
      <c r="T32" t="s">
        <v>30</v>
      </c>
      <c r="U32">
        <v>0.96539470535239313</v>
      </c>
      <c r="V32" t="s">
        <v>31</v>
      </c>
      <c r="W32" t="s">
        <v>41</v>
      </c>
      <c r="X32">
        <v>880.08098824716103</v>
      </c>
    </row>
    <row r="33" spans="1:24" x14ac:dyDescent="0.3">
      <c r="A33" t="s">
        <v>33</v>
      </c>
      <c r="B33" t="s">
        <v>85</v>
      </c>
      <c r="C33">
        <v>50.847393051718697</v>
      </c>
      <c r="D33">
        <v>28</v>
      </c>
      <c r="E33">
        <v>168</v>
      </c>
      <c r="F33">
        <v>9655.1351027193978</v>
      </c>
      <c r="G33" t="s">
        <v>55</v>
      </c>
      <c r="H33">
        <v>6</v>
      </c>
      <c r="I33">
        <v>17</v>
      </c>
      <c r="J33">
        <v>44</v>
      </c>
      <c r="K33">
        <v>4</v>
      </c>
      <c r="L33" t="s">
        <v>27</v>
      </c>
      <c r="M33">
        <v>2.6796609649814065</v>
      </c>
      <c r="N33" t="s">
        <v>28</v>
      </c>
      <c r="O33" t="s">
        <v>62</v>
      </c>
      <c r="P33">
        <v>24</v>
      </c>
      <c r="Q33">
        <v>461</v>
      </c>
      <c r="R33">
        <v>8</v>
      </c>
      <c r="S33">
        <v>60.25114566159808</v>
      </c>
      <c r="T33" t="s">
        <v>30</v>
      </c>
      <c r="U33">
        <v>2.9890000066550746</v>
      </c>
      <c r="V33" t="s">
        <v>47</v>
      </c>
      <c r="W33" t="s">
        <v>41</v>
      </c>
      <c r="X33">
        <v>609.37920661842668</v>
      </c>
    </row>
    <row r="34" spans="1:24" x14ac:dyDescent="0.3">
      <c r="A34" t="s">
        <v>33</v>
      </c>
      <c r="B34" t="s">
        <v>86</v>
      </c>
      <c r="C34">
        <v>79.209936015656723</v>
      </c>
      <c r="D34">
        <v>43</v>
      </c>
      <c r="E34">
        <v>781</v>
      </c>
      <c r="F34">
        <v>9571.5504873278187</v>
      </c>
      <c r="G34" t="s">
        <v>38</v>
      </c>
      <c r="H34">
        <v>89</v>
      </c>
      <c r="I34">
        <v>13</v>
      </c>
      <c r="J34">
        <v>64</v>
      </c>
      <c r="K34">
        <v>4</v>
      </c>
      <c r="L34" t="s">
        <v>43</v>
      </c>
      <c r="M34">
        <v>6.5991049012385838</v>
      </c>
      <c r="N34" t="s">
        <v>28</v>
      </c>
      <c r="O34" t="s">
        <v>45</v>
      </c>
      <c r="P34">
        <v>30</v>
      </c>
      <c r="Q34">
        <v>737</v>
      </c>
      <c r="R34">
        <v>7</v>
      </c>
      <c r="S34">
        <v>29.692467153749774</v>
      </c>
      <c r="T34" t="s">
        <v>64</v>
      </c>
      <c r="U34">
        <v>1.9460361193861131</v>
      </c>
      <c r="V34" t="s">
        <v>31</v>
      </c>
      <c r="W34" t="s">
        <v>48</v>
      </c>
      <c r="X34">
        <v>761.17390951487755</v>
      </c>
    </row>
    <row r="35" spans="1:24" x14ac:dyDescent="0.3">
      <c r="A35" t="s">
        <v>57</v>
      </c>
      <c r="B35" t="s">
        <v>87</v>
      </c>
      <c r="C35">
        <v>64.795435000155607</v>
      </c>
      <c r="D35">
        <v>63</v>
      </c>
      <c r="E35">
        <v>616</v>
      </c>
      <c r="F35">
        <v>5149.9983504080365</v>
      </c>
      <c r="G35" t="s">
        <v>26</v>
      </c>
      <c r="H35">
        <v>4</v>
      </c>
      <c r="I35">
        <v>17</v>
      </c>
      <c r="J35">
        <v>95</v>
      </c>
      <c r="K35">
        <v>9</v>
      </c>
      <c r="L35" t="s">
        <v>43</v>
      </c>
      <c r="M35">
        <v>4.85827050343664</v>
      </c>
      <c r="N35" t="s">
        <v>44</v>
      </c>
      <c r="O35" t="s">
        <v>62</v>
      </c>
      <c r="P35">
        <v>1</v>
      </c>
      <c r="Q35">
        <v>251</v>
      </c>
      <c r="R35">
        <v>23</v>
      </c>
      <c r="S35">
        <v>23.853427512896133</v>
      </c>
      <c r="T35" t="s">
        <v>46</v>
      </c>
      <c r="U35">
        <v>3.5410460122509231</v>
      </c>
      <c r="V35" t="s">
        <v>56</v>
      </c>
      <c r="W35" t="s">
        <v>48</v>
      </c>
      <c r="X35">
        <v>371.25529551987103</v>
      </c>
    </row>
    <row r="36" spans="1:24" x14ac:dyDescent="0.3">
      <c r="A36" t="s">
        <v>33</v>
      </c>
      <c r="B36" t="s">
        <v>88</v>
      </c>
      <c r="C36">
        <v>37.467592329842461</v>
      </c>
      <c r="D36">
        <v>96</v>
      </c>
      <c r="E36">
        <v>602</v>
      </c>
      <c r="F36">
        <v>9061.7108955077238</v>
      </c>
      <c r="G36" t="s">
        <v>38</v>
      </c>
      <c r="H36">
        <v>1</v>
      </c>
      <c r="I36">
        <v>26</v>
      </c>
      <c r="J36">
        <v>21</v>
      </c>
      <c r="K36">
        <v>7</v>
      </c>
      <c r="L36" t="s">
        <v>36</v>
      </c>
      <c r="M36">
        <v>1.0194875708221189</v>
      </c>
      <c r="N36" t="s">
        <v>39</v>
      </c>
      <c r="O36" t="s">
        <v>62</v>
      </c>
      <c r="P36">
        <v>4</v>
      </c>
      <c r="Q36">
        <v>452</v>
      </c>
      <c r="R36">
        <v>10</v>
      </c>
      <c r="S36">
        <v>10.754272815029333</v>
      </c>
      <c r="T36" t="s">
        <v>64</v>
      </c>
      <c r="U36">
        <v>0.64660455937205485</v>
      </c>
      <c r="V36" t="s">
        <v>31</v>
      </c>
      <c r="W36" t="s">
        <v>32</v>
      </c>
      <c r="X36">
        <v>510.3580004335235</v>
      </c>
    </row>
    <row r="37" spans="1:24" x14ac:dyDescent="0.3">
      <c r="A37" t="s">
        <v>57</v>
      </c>
      <c r="B37" t="s">
        <v>89</v>
      </c>
      <c r="C37">
        <v>84.957786816350435</v>
      </c>
      <c r="D37">
        <v>11</v>
      </c>
      <c r="E37">
        <v>449</v>
      </c>
      <c r="F37">
        <v>6541.3293448024651</v>
      </c>
      <c r="G37" t="s">
        <v>35</v>
      </c>
      <c r="H37">
        <v>42</v>
      </c>
      <c r="I37">
        <v>27</v>
      </c>
      <c r="J37">
        <v>85</v>
      </c>
      <c r="K37">
        <v>8</v>
      </c>
      <c r="L37" t="s">
        <v>43</v>
      </c>
      <c r="M37">
        <v>5.2881899903274094</v>
      </c>
      <c r="N37" t="s">
        <v>39</v>
      </c>
      <c r="O37" t="s">
        <v>50</v>
      </c>
      <c r="P37">
        <v>3</v>
      </c>
      <c r="Q37">
        <v>367</v>
      </c>
      <c r="R37">
        <v>2</v>
      </c>
      <c r="S37">
        <v>58.004787044743765</v>
      </c>
      <c r="T37" t="s">
        <v>64</v>
      </c>
      <c r="U37">
        <v>0.54115409806058112</v>
      </c>
      <c r="V37" t="s">
        <v>56</v>
      </c>
      <c r="W37" t="s">
        <v>41</v>
      </c>
      <c r="X37">
        <v>553.42047123035582</v>
      </c>
    </row>
    <row r="38" spans="1:24" x14ac:dyDescent="0.3">
      <c r="A38" t="s">
        <v>33</v>
      </c>
      <c r="B38" t="s">
        <v>90</v>
      </c>
      <c r="C38">
        <v>9.8130025787540518</v>
      </c>
      <c r="D38">
        <v>34</v>
      </c>
      <c r="E38">
        <v>963</v>
      </c>
      <c r="F38">
        <v>7573.4024578487333</v>
      </c>
      <c r="G38" t="s">
        <v>35</v>
      </c>
      <c r="H38">
        <v>18</v>
      </c>
      <c r="I38">
        <v>23</v>
      </c>
      <c r="J38">
        <v>28</v>
      </c>
      <c r="K38">
        <v>3</v>
      </c>
      <c r="L38" t="s">
        <v>27</v>
      </c>
      <c r="M38">
        <v>2.107951267159081</v>
      </c>
      <c r="N38" t="s">
        <v>61</v>
      </c>
      <c r="O38" t="s">
        <v>50</v>
      </c>
      <c r="P38">
        <v>26</v>
      </c>
      <c r="Q38">
        <v>671</v>
      </c>
      <c r="R38">
        <v>19</v>
      </c>
      <c r="S38">
        <v>45.531364237162144</v>
      </c>
      <c r="T38" t="s">
        <v>46</v>
      </c>
      <c r="U38">
        <v>3.8055333792433537</v>
      </c>
      <c r="V38" t="s">
        <v>40</v>
      </c>
      <c r="W38" t="s">
        <v>41</v>
      </c>
      <c r="X38">
        <v>403.8089742481805</v>
      </c>
    </row>
    <row r="39" spans="1:24" x14ac:dyDescent="0.3">
      <c r="A39" t="s">
        <v>33</v>
      </c>
      <c r="B39" t="s">
        <v>91</v>
      </c>
      <c r="C39">
        <v>23.399844752614349</v>
      </c>
      <c r="D39">
        <v>5</v>
      </c>
      <c r="E39">
        <v>963</v>
      </c>
      <c r="F39">
        <v>2438.3399304700288</v>
      </c>
      <c r="G39" t="s">
        <v>35</v>
      </c>
      <c r="H39">
        <v>25</v>
      </c>
      <c r="I39">
        <v>8</v>
      </c>
      <c r="J39">
        <v>21</v>
      </c>
      <c r="K39">
        <v>9</v>
      </c>
      <c r="L39" t="s">
        <v>36</v>
      </c>
      <c r="M39">
        <v>1.5326552735904306</v>
      </c>
      <c r="N39" t="s">
        <v>28</v>
      </c>
      <c r="O39" t="s">
        <v>45</v>
      </c>
      <c r="P39">
        <v>24</v>
      </c>
      <c r="Q39">
        <v>867</v>
      </c>
      <c r="R39">
        <v>15</v>
      </c>
      <c r="S39">
        <v>34.343277465075381</v>
      </c>
      <c r="T39" t="s">
        <v>30</v>
      </c>
      <c r="U39">
        <v>2.6102880848481131</v>
      </c>
      <c r="V39" t="s">
        <v>56</v>
      </c>
      <c r="W39" t="s">
        <v>48</v>
      </c>
      <c r="X39">
        <v>183.93296804359437</v>
      </c>
    </row>
    <row r="40" spans="1:24" x14ac:dyDescent="0.3">
      <c r="A40" t="s">
        <v>57</v>
      </c>
      <c r="B40" t="s">
        <v>92</v>
      </c>
      <c r="C40">
        <v>52.075930682707799</v>
      </c>
      <c r="D40">
        <v>75</v>
      </c>
      <c r="E40">
        <v>705</v>
      </c>
      <c r="F40">
        <v>9692.3180402184316</v>
      </c>
      <c r="G40" t="s">
        <v>26</v>
      </c>
      <c r="H40">
        <v>69</v>
      </c>
      <c r="I40">
        <v>1</v>
      </c>
      <c r="J40">
        <v>88</v>
      </c>
      <c r="K40">
        <v>5</v>
      </c>
      <c r="L40" t="s">
        <v>27</v>
      </c>
      <c r="M40">
        <v>9.2359314372492278</v>
      </c>
      <c r="N40" t="s">
        <v>44</v>
      </c>
      <c r="O40" t="s">
        <v>29</v>
      </c>
      <c r="P40">
        <v>10</v>
      </c>
      <c r="Q40">
        <v>841</v>
      </c>
      <c r="R40">
        <v>12</v>
      </c>
      <c r="S40">
        <v>5.9306936455283177</v>
      </c>
      <c r="T40" t="s">
        <v>30</v>
      </c>
      <c r="U40">
        <v>0.61332689916450744</v>
      </c>
      <c r="V40" t="s">
        <v>40</v>
      </c>
      <c r="W40" t="s">
        <v>32</v>
      </c>
      <c r="X40">
        <v>339.67286994860615</v>
      </c>
    </row>
    <row r="41" spans="1:24" x14ac:dyDescent="0.3">
      <c r="A41" t="s">
        <v>33</v>
      </c>
      <c r="B41" t="s">
        <v>93</v>
      </c>
      <c r="C41">
        <v>19.127477265823256</v>
      </c>
      <c r="D41">
        <v>26</v>
      </c>
      <c r="E41">
        <v>176</v>
      </c>
      <c r="F41">
        <v>1912.4656631007608</v>
      </c>
      <c r="G41" t="s">
        <v>35</v>
      </c>
      <c r="H41">
        <v>78</v>
      </c>
      <c r="I41">
        <v>29</v>
      </c>
      <c r="J41">
        <v>34</v>
      </c>
      <c r="K41">
        <v>3</v>
      </c>
      <c r="L41" t="s">
        <v>36</v>
      </c>
      <c r="M41">
        <v>5.5625037788303837</v>
      </c>
      <c r="N41" t="s">
        <v>61</v>
      </c>
      <c r="O41" t="s">
        <v>45</v>
      </c>
      <c r="P41">
        <v>30</v>
      </c>
      <c r="Q41">
        <v>791</v>
      </c>
      <c r="R41">
        <v>6</v>
      </c>
      <c r="S41">
        <v>9.0058074287816421</v>
      </c>
      <c r="T41" t="s">
        <v>46</v>
      </c>
      <c r="U41">
        <v>1.4519722039968159</v>
      </c>
      <c r="V41" t="s">
        <v>40</v>
      </c>
      <c r="W41" t="s">
        <v>32</v>
      </c>
      <c r="X41">
        <v>653.67299455203317</v>
      </c>
    </row>
    <row r="42" spans="1:24" x14ac:dyDescent="0.3">
      <c r="A42" t="s">
        <v>33</v>
      </c>
      <c r="B42" t="s">
        <v>94</v>
      </c>
      <c r="C42">
        <v>80.541424170940331</v>
      </c>
      <c r="D42">
        <v>97</v>
      </c>
      <c r="E42">
        <v>933</v>
      </c>
      <c r="F42">
        <v>5724.9593504562654</v>
      </c>
      <c r="G42" t="s">
        <v>35</v>
      </c>
      <c r="H42">
        <v>90</v>
      </c>
      <c r="I42">
        <v>20</v>
      </c>
      <c r="J42">
        <v>39</v>
      </c>
      <c r="K42">
        <v>8</v>
      </c>
      <c r="L42" t="s">
        <v>43</v>
      </c>
      <c r="M42">
        <v>7.2295951397364737</v>
      </c>
      <c r="N42" t="s">
        <v>39</v>
      </c>
      <c r="O42" t="s">
        <v>45</v>
      </c>
      <c r="P42">
        <v>18</v>
      </c>
      <c r="Q42">
        <v>793</v>
      </c>
      <c r="R42">
        <v>1</v>
      </c>
      <c r="S42">
        <v>88.179407104217461</v>
      </c>
      <c r="T42" t="s">
        <v>30</v>
      </c>
      <c r="U42">
        <v>4.2132694305865659</v>
      </c>
      <c r="V42" t="s">
        <v>31</v>
      </c>
      <c r="W42" t="s">
        <v>48</v>
      </c>
      <c r="X42">
        <v>529.80872398069187</v>
      </c>
    </row>
    <row r="43" spans="1:24" x14ac:dyDescent="0.3">
      <c r="A43" t="s">
        <v>33</v>
      </c>
      <c r="B43" t="s">
        <v>95</v>
      </c>
      <c r="C43">
        <v>99.113291615317166</v>
      </c>
      <c r="D43">
        <v>35</v>
      </c>
      <c r="E43">
        <v>556</v>
      </c>
      <c r="F43">
        <v>5521.2052590109715</v>
      </c>
      <c r="G43" t="s">
        <v>35</v>
      </c>
      <c r="H43">
        <v>64</v>
      </c>
      <c r="I43">
        <v>19</v>
      </c>
      <c r="J43">
        <v>38</v>
      </c>
      <c r="K43">
        <v>8</v>
      </c>
      <c r="L43" t="s">
        <v>27</v>
      </c>
      <c r="M43">
        <v>5.7732637437666536</v>
      </c>
      <c r="N43" t="s">
        <v>52</v>
      </c>
      <c r="O43" t="s">
        <v>62</v>
      </c>
      <c r="P43">
        <v>18</v>
      </c>
      <c r="Q43">
        <v>892</v>
      </c>
      <c r="R43">
        <v>7</v>
      </c>
      <c r="S43">
        <v>95.332064548772493</v>
      </c>
      <c r="T43" t="s">
        <v>46</v>
      </c>
      <c r="U43">
        <v>4.530226239825963E-2</v>
      </c>
      <c r="V43" t="s">
        <v>56</v>
      </c>
      <c r="W43" t="s">
        <v>48</v>
      </c>
      <c r="X43">
        <v>275.52437113130981</v>
      </c>
    </row>
    <row r="44" spans="1:24" x14ac:dyDescent="0.3">
      <c r="A44" t="s">
        <v>33</v>
      </c>
      <c r="B44" t="s">
        <v>96</v>
      </c>
      <c r="C44">
        <v>46.529167614516773</v>
      </c>
      <c r="D44">
        <v>98</v>
      </c>
      <c r="E44">
        <v>155</v>
      </c>
      <c r="F44">
        <v>1839.6094258567639</v>
      </c>
      <c r="G44" t="s">
        <v>35</v>
      </c>
      <c r="H44">
        <v>22</v>
      </c>
      <c r="I44">
        <v>27</v>
      </c>
      <c r="J44">
        <v>57</v>
      </c>
      <c r="K44">
        <v>4</v>
      </c>
      <c r="L44" t="s">
        <v>43</v>
      </c>
      <c r="M44">
        <v>7.5262483268515084</v>
      </c>
      <c r="N44" t="s">
        <v>44</v>
      </c>
      <c r="O44" t="s">
        <v>53</v>
      </c>
      <c r="P44">
        <v>26</v>
      </c>
      <c r="Q44">
        <v>179</v>
      </c>
      <c r="R44">
        <v>7</v>
      </c>
      <c r="S44">
        <v>96.422820639571867</v>
      </c>
      <c r="T44" t="s">
        <v>46</v>
      </c>
      <c r="U44">
        <v>4.9392552886209478</v>
      </c>
      <c r="V44" t="s">
        <v>31</v>
      </c>
      <c r="W44" t="s">
        <v>48</v>
      </c>
      <c r="X44">
        <v>635.65712050199193</v>
      </c>
    </row>
    <row r="45" spans="1:24" x14ac:dyDescent="0.3">
      <c r="A45" t="s">
        <v>24</v>
      </c>
      <c r="B45" t="s">
        <v>97</v>
      </c>
      <c r="C45">
        <v>11.743271776309239</v>
      </c>
      <c r="D45">
        <v>6</v>
      </c>
      <c r="E45">
        <v>598</v>
      </c>
      <c r="F45">
        <v>5737.425599119023</v>
      </c>
      <c r="G45" t="s">
        <v>38</v>
      </c>
      <c r="H45">
        <v>36</v>
      </c>
      <c r="I45">
        <v>29</v>
      </c>
      <c r="J45">
        <v>85</v>
      </c>
      <c r="K45">
        <v>9</v>
      </c>
      <c r="L45" t="s">
        <v>27</v>
      </c>
      <c r="M45">
        <v>3.6940212683884543</v>
      </c>
      <c r="N45" t="s">
        <v>44</v>
      </c>
      <c r="O45" t="s">
        <v>29</v>
      </c>
      <c r="P45">
        <v>1</v>
      </c>
      <c r="Q45">
        <v>206</v>
      </c>
      <c r="R45">
        <v>23</v>
      </c>
      <c r="S45">
        <v>26.27736595733241</v>
      </c>
      <c r="T45" t="s">
        <v>30</v>
      </c>
      <c r="U45">
        <v>0.37230476798509771</v>
      </c>
      <c r="V45" t="s">
        <v>40</v>
      </c>
      <c r="W45" t="s">
        <v>48</v>
      </c>
      <c r="X45">
        <v>716.04411975934067</v>
      </c>
    </row>
    <row r="46" spans="1:24" x14ac:dyDescent="0.3">
      <c r="A46" t="s">
        <v>57</v>
      </c>
      <c r="B46" t="s">
        <v>98</v>
      </c>
      <c r="C46">
        <v>51.35579091311039</v>
      </c>
      <c r="D46">
        <v>34</v>
      </c>
      <c r="E46">
        <v>919</v>
      </c>
      <c r="F46">
        <v>7152.2860494355145</v>
      </c>
      <c r="G46" t="s">
        <v>35</v>
      </c>
      <c r="H46">
        <v>13</v>
      </c>
      <c r="I46">
        <v>19</v>
      </c>
      <c r="J46">
        <v>72</v>
      </c>
      <c r="K46">
        <v>6</v>
      </c>
      <c r="L46" t="s">
        <v>43</v>
      </c>
      <c r="M46">
        <v>7.5774496573766932</v>
      </c>
      <c r="N46" t="s">
        <v>61</v>
      </c>
      <c r="O46" t="s">
        <v>50</v>
      </c>
      <c r="P46">
        <v>7</v>
      </c>
      <c r="Q46">
        <v>834</v>
      </c>
      <c r="R46">
        <v>18</v>
      </c>
      <c r="S46">
        <v>22.554106620887744</v>
      </c>
      <c r="T46" t="s">
        <v>46</v>
      </c>
      <c r="U46">
        <v>2.9626263204548819</v>
      </c>
      <c r="V46" t="s">
        <v>47</v>
      </c>
      <c r="W46" t="s">
        <v>48</v>
      </c>
      <c r="X46">
        <v>610.45326961922774</v>
      </c>
    </row>
    <row r="47" spans="1:24" x14ac:dyDescent="0.3">
      <c r="A47" t="s">
        <v>24</v>
      </c>
      <c r="B47" t="s">
        <v>99</v>
      </c>
      <c r="C47">
        <v>33.78413803306551</v>
      </c>
      <c r="D47">
        <v>1</v>
      </c>
      <c r="E47">
        <v>24</v>
      </c>
      <c r="F47">
        <v>5267.9568075105208</v>
      </c>
      <c r="G47" t="s">
        <v>55</v>
      </c>
      <c r="H47">
        <v>93</v>
      </c>
      <c r="I47">
        <v>7</v>
      </c>
      <c r="J47">
        <v>52</v>
      </c>
      <c r="K47">
        <v>6</v>
      </c>
      <c r="L47" t="s">
        <v>27</v>
      </c>
      <c r="M47">
        <v>5.2151550087119096</v>
      </c>
      <c r="N47" t="s">
        <v>61</v>
      </c>
      <c r="O47" t="s">
        <v>62</v>
      </c>
      <c r="P47">
        <v>25</v>
      </c>
      <c r="Q47">
        <v>794</v>
      </c>
      <c r="R47">
        <v>25</v>
      </c>
      <c r="S47">
        <v>66.312544439991655</v>
      </c>
      <c r="T47" t="s">
        <v>64</v>
      </c>
      <c r="U47">
        <v>3.219604612084106</v>
      </c>
      <c r="V47" t="s">
        <v>47</v>
      </c>
      <c r="W47" t="s">
        <v>48</v>
      </c>
      <c r="X47">
        <v>495.30569702847396</v>
      </c>
    </row>
    <row r="48" spans="1:24" x14ac:dyDescent="0.3">
      <c r="A48" t="s">
        <v>24</v>
      </c>
      <c r="B48" t="s">
        <v>100</v>
      </c>
      <c r="C48">
        <v>27.082207199888899</v>
      </c>
      <c r="D48">
        <v>75</v>
      </c>
      <c r="E48">
        <v>859</v>
      </c>
      <c r="F48">
        <v>2556.7673606335957</v>
      </c>
      <c r="G48" t="s">
        <v>26</v>
      </c>
      <c r="H48">
        <v>92</v>
      </c>
      <c r="I48">
        <v>29</v>
      </c>
      <c r="J48">
        <v>6</v>
      </c>
      <c r="K48">
        <v>8</v>
      </c>
      <c r="L48" t="s">
        <v>27</v>
      </c>
      <c r="M48">
        <v>4.0709558370840826</v>
      </c>
      <c r="N48" t="s">
        <v>28</v>
      </c>
      <c r="O48" t="s">
        <v>62</v>
      </c>
      <c r="P48">
        <v>18</v>
      </c>
      <c r="Q48">
        <v>870</v>
      </c>
      <c r="R48">
        <v>23</v>
      </c>
      <c r="S48">
        <v>77.32235321105162</v>
      </c>
      <c r="T48" t="s">
        <v>30</v>
      </c>
      <c r="U48">
        <v>3.6486105925362033</v>
      </c>
      <c r="V48" t="s">
        <v>31</v>
      </c>
      <c r="W48" t="s">
        <v>32</v>
      </c>
      <c r="X48">
        <v>380.43593711196428</v>
      </c>
    </row>
    <row r="49" spans="1:24" x14ac:dyDescent="0.3">
      <c r="A49" t="s">
        <v>33</v>
      </c>
      <c r="B49" t="s">
        <v>101</v>
      </c>
      <c r="C49">
        <v>95.712135880936088</v>
      </c>
      <c r="D49">
        <v>93</v>
      </c>
      <c r="E49">
        <v>910</v>
      </c>
      <c r="F49">
        <v>7089.4742499341864</v>
      </c>
      <c r="G49" t="s">
        <v>55</v>
      </c>
      <c r="H49">
        <v>4</v>
      </c>
      <c r="I49">
        <v>15</v>
      </c>
      <c r="J49">
        <v>51</v>
      </c>
      <c r="K49">
        <v>9</v>
      </c>
      <c r="L49" t="s">
        <v>27</v>
      </c>
      <c r="M49">
        <v>8.9787507559499709</v>
      </c>
      <c r="N49" t="s">
        <v>39</v>
      </c>
      <c r="O49" t="s">
        <v>45</v>
      </c>
      <c r="P49">
        <v>10</v>
      </c>
      <c r="Q49">
        <v>964</v>
      </c>
      <c r="R49">
        <v>20</v>
      </c>
      <c r="S49">
        <v>19.712992911293647</v>
      </c>
      <c r="T49" t="s">
        <v>30</v>
      </c>
      <c r="U49">
        <v>0.38057358671321373</v>
      </c>
      <c r="V49" t="s">
        <v>47</v>
      </c>
      <c r="W49" t="s">
        <v>48</v>
      </c>
      <c r="X49">
        <v>581.60235505058677</v>
      </c>
    </row>
    <row r="50" spans="1:24" x14ac:dyDescent="0.3">
      <c r="A50" t="s">
        <v>24</v>
      </c>
      <c r="B50" t="s">
        <v>102</v>
      </c>
      <c r="C50">
        <v>76.035544426891718</v>
      </c>
      <c r="D50">
        <v>28</v>
      </c>
      <c r="E50">
        <v>29</v>
      </c>
      <c r="F50">
        <v>7397.0710045871801</v>
      </c>
      <c r="G50" t="s">
        <v>26</v>
      </c>
      <c r="H50">
        <v>30</v>
      </c>
      <c r="I50">
        <v>16</v>
      </c>
      <c r="J50">
        <v>9</v>
      </c>
      <c r="K50">
        <v>3</v>
      </c>
      <c r="L50" t="s">
        <v>43</v>
      </c>
      <c r="M50">
        <v>7.0958331565551385</v>
      </c>
      <c r="N50" t="s">
        <v>61</v>
      </c>
      <c r="O50" t="s">
        <v>29</v>
      </c>
      <c r="P50">
        <v>9</v>
      </c>
      <c r="Q50">
        <v>109</v>
      </c>
      <c r="R50">
        <v>18</v>
      </c>
      <c r="S50">
        <v>23.126363582464776</v>
      </c>
      <c r="T50" t="s">
        <v>46</v>
      </c>
      <c r="U50">
        <v>1.6981125407144038</v>
      </c>
      <c r="V50" t="s">
        <v>47</v>
      </c>
      <c r="W50" t="s">
        <v>32</v>
      </c>
      <c r="X50">
        <v>768.65191395437</v>
      </c>
    </row>
    <row r="51" spans="1:24" x14ac:dyDescent="0.3">
      <c r="A51" t="s">
        <v>57</v>
      </c>
      <c r="B51" t="s">
        <v>103</v>
      </c>
      <c r="C51">
        <v>78.897913205640037</v>
      </c>
      <c r="D51">
        <v>19</v>
      </c>
      <c r="E51">
        <v>99</v>
      </c>
      <c r="F51">
        <v>8001.6132065190022</v>
      </c>
      <c r="G51" t="s">
        <v>38</v>
      </c>
      <c r="H51">
        <v>97</v>
      </c>
      <c r="I51">
        <v>24</v>
      </c>
      <c r="J51">
        <v>9</v>
      </c>
      <c r="K51">
        <v>6</v>
      </c>
      <c r="L51" t="s">
        <v>43</v>
      </c>
      <c r="M51">
        <v>2.5056210329009154</v>
      </c>
      <c r="N51" t="s">
        <v>44</v>
      </c>
      <c r="O51" t="s">
        <v>50</v>
      </c>
      <c r="P51">
        <v>28</v>
      </c>
      <c r="Q51">
        <v>177</v>
      </c>
      <c r="R51">
        <v>28</v>
      </c>
      <c r="S51">
        <v>14.147815443979217</v>
      </c>
      <c r="T51" t="s">
        <v>64</v>
      </c>
      <c r="U51">
        <v>2.8258139854001318</v>
      </c>
      <c r="V51" t="s">
        <v>47</v>
      </c>
      <c r="W51" t="s">
        <v>48</v>
      </c>
      <c r="X51">
        <v>336.89016851997792</v>
      </c>
    </row>
    <row r="52" spans="1:24" x14ac:dyDescent="0.3">
      <c r="A52" t="s">
        <v>57</v>
      </c>
      <c r="B52" t="s">
        <v>104</v>
      </c>
      <c r="C52">
        <v>14.203484264803022</v>
      </c>
      <c r="D52">
        <v>91</v>
      </c>
      <c r="E52">
        <v>633</v>
      </c>
      <c r="F52">
        <v>5910.8853896688988</v>
      </c>
      <c r="G52" t="s">
        <v>35</v>
      </c>
      <c r="H52">
        <v>31</v>
      </c>
      <c r="I52">
        <v>23</v>
      </c>
      <c r="J52">
        <v>82</v>
      </c>
      <c r="K52">
        <v>10</v>
      </c>
      <c r="L52" t="s">
        <v>36</v>
      </c>
      <c r="M52">
        <v>6.2478609149759912</v>
      </c>
      <c r="N52" t="s">
        <v>61</v>
      </c>
      <c r="O52" t="s">
        <v>50</v>
      </c>
      <c r="P52">
        <v>20</v>
      </c>
      <c r="Q52">
        <v>306</v>
      </c>
      <c r="R52">
        <v>21</v>
      </c>
      <c r="S52">
        <v>45.178757924634517</v>
      </c>
      <c r="T52" t="s">
        <v>46</v>
      </c>
      <c r="U52">
        <v>4.7548008046711852</v>
      </c>
      <c r="V52" t="s">
        <v>47</v>
      </c>
      <c r="W52" t="s">
        <v>32</v>
      </c>
      <c r="X52">
        <v>496.24865029194046</v>
      </c>
    </row>
    <row r="53" spans="1:24" x14ac:dyDescent="0.3">
      <c r="A53" t="s">
        <v>24</v>
      </c>
      <c r="B53" t="s">
        <v>105</v>
      </c>
      <c r="C53">
        <v>26.70076097246173</v>
      </c>
      <c r="D53">
        <v>61</v>
      </c>
      <c r="E53">
        <v>154</v>
      </c>
      <c r="F53">
        <v>9866.465457979697</v>
      </c>
      <c r="G53" t="s">
        <v>55</v>
      </c>
      <c r="H53">
        <v>100</v>
      </c>
      <c r="I53">
        <v>4</v>
      </c>
      <c r="J53">
        <v>52</v>
      </c>
      <c r="K53">
        <v>1</v>
      </c>
      <c r="L53" t="s">
        <v>36</v>
      </c>
      <c r="M53">
        <v>4.7830005579476653</v>
      </c>
      <c r="N53" t="s">
        <v>44</v>
      </c>
      <c r="O53" t="s">
        <v>53</v>
      </c>
      <c r="P53">
        <v>18</v>
      </c>
      <c r="Q53">
        <v>673</v>
      </c>
      <c r="R53">
        <v>28</v>
      </c>
      <c r="S53">
        <v>14.190328344569981</v>
      </c>
      <c r="T53" t="s">
        <v>30</v>
      </c>
      <c r="U53">
        <v>1.7729511720835571</v>
      </c>
      <c r="V53" t="s">
        <v>31</v>
      </c>
      <c r="W53" t="s">
        <v>48</v>
      </c>
      <c r="X53">
        <v>694.98231757944586</v>
      </c>
    </row>
    <row r="54" spans="1:24" x14ac:dyDescent="0.3">
      <c r="A54" t="s">
        <v>33</v>
      </c>
      <c r="B54" t="s">
        <v>106</v>
      </c>
      <c r="C54">
        <v>98.031829656465078</v>
      </c>
      <c r="D54">
        <v>1</v>
      </c>
      <c r="E54">
        <v>820</v>
      </c>
      <c r="F54">
        <v>9435.7626089121295</v>
      </c>
      <c r="G54" t="s">
        <v>55</v>
      </c>
      <c r="H54">
        <v>64</v>
      </c>
      <c r="I54">
        <v>11</v>
      </c>
      <c r="J54">
        <v>11</v>
      </c>
      <c r="K54">
        <v>1</v>
      </c>
      <c r="L54" t="s">
        <v>27</v>
      </c>
      <c r="M54">
        <v>8.6310521797689468</v>
      </c>
      <c r="N54" t="s">
        <v>39</v>
      </c>
      <c r="O54" t="s">
        <v>29</v>
      </c>
      <c r="P54">
        <v>10</v>
      </c>
      <c r="Q54">
        <v>727</v>
      </c>
      <c r="R54">
        <v>27</v>
      </c>
      <c r="S54">
        <v>9.1668491485971515</v>
      </c>
      <c r="T54" t="s">
        <v>30</v>
      </c>
      <c r="U54">
        <v>2.1224716191438247</v>
      </c>
      <c r="V54" t="s">
        <v>40</v>
      </c>
      <c r="W54" t="s">
        <v>41</v>
      </c>
      <c r="X54">
        <v>602.89849883838338</v>
      </c>
    </row>
    <row r="55" spans="1:24" x14ac:dyDescent="0.3">
      <c r="A55" t="s">
        <v>33</v>
      </c>
      <c r="B55" t="s">
        <v>107</v>
      </c>
      <c r="C55">
        <v>30.341470711214214</v>
      </c>
      <c r="D55">
        <v>93</v>
      </c>
      <c r="E55">
        <v>242</v>
      </c>
      <c r="F55">
        <v>8232.3348294258212</v>
      </c>
      <c r="G55" t="s">
        <v>55</v>
      </c>
      <c r="H55">
        <v>96</v>
      </c>
      <c r="I55">
        <v>25</v>
      </c>
      <c r="J55">
        <v>54</v>
      </c>
      <c r="K55">
        <v>3</v>
      </c>
      <c r="L55" t="s">
        <v>27</v>
      </c>
      <c r="M55">
        <v>1.0134865660958963</v>
      </c>
      <c r="N55" t="s">
        <v>39</v>
      </c>
      <c r="O55" t="s">
        <v>50</v>
      </c>
      <c r="P55">
        <v>1</v>
      </c>
      <c r="Q55">
        <v>631</v>
      </c>
      <c r="R55">
        <v>17</v>
      </c>
      <c r="S55">
        <v>83.344058991677969</v>
      </c>
      <c r="T55" t="s">
        <v>30</v>
      </c>
      <c r="U55">
        <v>1.4103475760760271</v>
      </c>
      <c r="V55" t="s">
        <v>40</v>
      </c>
      <c r="W55" t="s">
        <v>32</v>
      </c>
      <c r="X55">
        <v>750.73784066827091</v>
      </c>
    </row>
    <row r="56" spans="1:24" x14ac:dyDescent="0.3">
      <c r="A56" t="s">
        <v>24</v>
      </c>
      <c r="B56" t="s">
        <v>108</v>
      </c>
      <c r="C56">
        <v>31.146243160240854</v>
      </c>
      <c r="D56">
        <v>11</v>
      </c>
      <c r="E56">
        <v>622</v>
      </c>
      <c r="F56">
        <v>6088.0214799408586</v>
      </c>
      <c r="G56" t="s">
        <v>26</v>
      </c>
      <c r="H56">
        <v>33</v>
      </c>
      <c r="I56">
        <v>22</v>
      </c>
      <c r="J56">
        <v>61</v>
      </c>
      <c r="K56">
        <v>3</v>
      </c>
      <c r="L56" t="s">
        <v>27</v>
      </c>
      <c r="M56">
        <v>4.3051034712876355</v>
      </c>
      <c r="N56" t="s">
        <v>39</v>
      </c>
      <c r="O56" t="s">
        <v>45</v>
      </c>
      <c r="P56">
        <v>26</v>
      </c>
      <c r="Q56">
        <v>497</v>
      </c>
      <c r="R56">
        <v>29</v>
      </c>
      <c r="S56">
        <v>30.186023375822508</v>
      </c>
      <c r="T56" t="s">
        <v>64</v>
      </c>
      <c r="U56">
        <v>2.4787719755397477</v>
      </c>
      <c r="V56" t="s">
        <v>31</v>
      </c>
      <c r="W56" t="s">
        <v>32</v>
      </c>
      <c r="X56">
        <v>814.06999658218751</v>
      </c>
    </row>
    <row r="57" spans="1:24" x14ac:dyDescent="0.3">
      <c r="A57" t="s">
        <v>24</v>
      </c>
      <c r="B57" t="s">
        <v>109</v>
      </c>
      <c r="C57">
        <v>79.855058340789427</v>
      </c>
      <c r="D57">
        <v>16</v>
      </c>
      <c r="E57">
        <v>701</v>
      </c>
      <c r="F57">
        <v>2925.6751703038126</v>
      </c>
      <c r="G57" t="s">
        <v>55</v>
      </c>
      <c r="H57">
        <v>97</v>
      </c>
      <c r="I57">
        <v>11</v>
      </c>
      <c r="J57">
        <v>11</v>
      </c>
      <c r="K57">
        <v>5</v>
      </c>
      <c r="L57" t="s">
        <v>36</v>
      </c>
      <c r="M57">
        <v>5.0143649550309073</v>
      </c>
      <c r="N57" t="s">
        <v>61</v>
      </c>
      <c r="O57" t="s">
        <v>50</v>
      </c>
      <c r="P57">
        <v>27</v>
      </c>
      <c r="Q57">
        <v>918</v>
      </c>
      <c r="R57">
        <v>5</v>
      </c>
      <c r="S57">
        <v>30.323545256616502</v>
      </c>
      <c r="T57" t="s">
        <v>46</v>
      </c>
      <c r="U57">
        <v>4.5489196593963852</v>
      </c>
      <c r="V57" t="s">
        <v>56</v>
      </c>
      <c r="W57" t="s">
        <v>32</v>
      </c>
      <c r="X57">
        <v>323.01292795247883</v>
      </c>
    </row>
    <row r="58" spans="1:24" x14ac:dyDescent="0.3">
      <c r="A58" t="s">
        <v>33</v>
      </c>
      <c r="B58" t="s">
        <v>110</v>
      </c>
      <c r="C58">
        <v>20.986386037043378</v>
      </c>
      <c r="D58">
        <v>90</v>
      </c>
      <c r="E58">
        <v>93</v>
      </c>
      <c r="F58">
        <v>4767.020484344137</v>
      </c>
      <c r="G58" t="s">
        <v>26</v>
      </c>
      <c r="H58">
        <v>25</v>
      </c>
      <c r="I58">
        <v>23</v>
      </c>
      <c r="J58">
        <v>83</v>
      </c>
      <c r="K58">
        <v>5</v>
      </c>
      <c r="L58" t="s">
        <v>43</v>
      </c>
      <c r="M58">
        <v>1.7744297140717396</v>
      </c>
      <c r="N58" t="s">
        <v>39</v>
      </c>
      <c r="O58" t="s">
        <v>29</v>
      </c>
      <c r="P58">
        <v>24</v>
      </c>
      <c r="Q58">
        <v>826</v>
      </c>
      <c r="R58">
        <v>28</v>
      </c>
      <c r="S58">
        <v>12.836284572832753</v>
      </c>
      <c r="T58" t="s">
        <v>64</v>
      </c>
      <c r="U58">
        <v>1.1737554953874541</v>
      </c>
      <c r="V58" t="s">
        <v>40</v>
      </c>
      <c r="W58" t="s">
        <v>32</v>
      </c>
      <c r="X58">
        <v>832.21080870602168</v>
      </c>
    </row>
    <row r="59" spans="1:24" x14ac:dyDescent="0.3">
      <c r="A59" t="s">
        <v>24</v>
      </c>
      <c r="B59" t="s">
        <v>111</v>
      </c>
      <c r="C59">
        <v>49.263205350734154</v>
      </c>
      <c r="D59">
        <v>65</v>
      </c>
      <c r="E59">
        <v>227</v>
      </c>
      <c r="F59">
        <v>1605.8669003924058</v>
      </c>
      <c r="G59" t="s">
        <v>38</v>
      </c>
      <c r="H59">
        <v>5</v>
      </c>
      <c r="I59">
        <v>18</v>
      </c>
      <c r="J59">
        <v>51</v>
      </c>
      <c r="K59">
        <v>1</v>
      </c>
      <c r="L59" t="s">
        <v>27</v>
      </c>
      <c r="M59">
        <v>9.1605585353818704</v>
      </c>
      <c r="N59" t="s">
        <v>61</v>
      </c>
      <c r="O59" t="s">
        <v>50</v>
      </c>
      <c r="P59">
        <v>21</v>
      </c>
      <c r="Q59">
        <v>588</v>
      </c>
      <c r="R59">
        <v>25</v>
      </c>
      <c r="S59">
        <v>67.779622987078142</v>
      </c>
      <c r="T59" t="s">
        <v>30</v>
      </c>
      <c r="U59">
        <v>2.511174830212707</v>
      </c>
      <c r="V59" t="s">
        <v>47</v>
      </c>
      <c r="W59" t="s">
        <v>48</v>
      </c>
      <c r="X59">
        <v>482.19123860252813</v>
      </c>
    </row>
    <row r="60" spans="1:24" x14ac:dyDescent="0.3">
      <c r="A60" t="s">
        <v>33</v>
      </c>
      <c r="B60" t="s">
        <v>112</v>
      </c>
      <c r="C60">
        <v>59.84156137728931</v>
      </c>
      <c r="D60">
        <v>81</v>
      </c>
      <c r="E60">
        <v>896</v>
      </c>
      <c r="F60">
        <v>2021.1498103371077</v>
      </c>
      <c r="G60" t="s">
        <v>26</v>
      </c>
      <c r="H60">
        <v>10</v>
      </c>
      <c r="I60">
        <v>5</v>
      </c>
      <c r="J60">
        <v>44</v>
      </c>
      <c r="K60">
        <v>7</v>
      </c>
      <c r="L60" t="s">
        <v>36</v>
      </c>
      <c r="M60">
        <v>4.9384385647120901</v>
      </c>
      <c r="N60" t="s">
        <v>28</v>
      </c>
      <c r="O60" t="s">
        <v>50</v>
      </c>
      <c r="P60">
        <v>18</v>
      </c>
      <c r="Q60">
        <v>396</v>
      </c>
      <c r="R60">
        <v>7</v>
      </c>
      <c r="S60">
        <v>65.047415094691459</v>
      </c>
      <c r="T60" t="s">
        <v>46</v>
      </c>
      <c r="U60">
        <v>1.7303747198591968</v>
      </c>
      <c r="V60" t="s">
        <v>31</v>
      </c>
      <c r="W60" t="s">
        <v>32</v>
      </c>
      <c r="X60">
        <v>110.36433523136472</v>
      </c>
    </row>
    <row r="61" spans="1:24" x14ac:dyDescent="0.3">
      <c r="A61" t="s">
        <v>57</v>
      </c>
      <c r="B61" t="s">
        <v>113</v>
      </c>
      <c r="C61">
        <v>63.828398347710966</v>
      </c>
      <c r="D61">
        <v>30</v>
      </c>
      <c r="E61">
        <v>484</v>
      </c>
      <c r="F61">
        <v>1061.618523013288</v>
      </c>
      <c r="G61" t="s">
        <v>26</v>
      </c>
      <c r="H61">
        <v>100</v>
      </c>
      <c r="I61">
        <v>16</v>
      </c>
      <c r="J61">
        <v>26</v>
      </c>
      <c r="K61">
        <v>7</v>
      </c>
      <c r="L61" t="s">
        <v>27</v>
      </c>
      <c r="M61">
        <v>7.2937225968677284</v>
      </c>
      <c r="N61" t="s">
        <v>39</v>
      </c>
      <c r="O61" t="s">
        <v>45</v>
      </c>
      <c r="P61">
        <v>11</v>
      </c>
      <c r="Q61">
        <v>176</v>
      </c>
      <c r="R61">
        <v>4</v>
      </c>
      <c r="S61">
        <v>1.900762243519458</v>
      </c>
      <c r="T61" t="s">
        <v>46</v>
      </c>
      <c r="U61">
        <v>0.4471940154638232</v>
      </c>
      <c r="V61" t="s">
        <v>40</v>
      </c>
      <c r="W61" t="s">
        <v>48</v>
      </c>
      <c r="X61">
        <v>312.57427361009331</v>
      </c>
    </row>
    <row r="62" spans="1:24" x14ac:dyDescent="0.3">
      <c r="A62" t="s">
        <v>33</v>
      </c>
      <c r="B62" t="s">
        <v>114</v>
      </c>
      <c r="C62">
        <v>17.028027920188702</v>
      </c>
      <c r="D62">
        <v>16</v>
      </c>
      <c r="E62">
        <v>380</v>
      </c>
      <c r="F62">
        <v>8864.0843495864356</v>
      </c>
      <c r="G62" t="s">
        <v>35</v>
      </c>
      <c r="H62">
        <v>41</v>
      </c>
      <c r="I62">
        <v>27</v>
      </c>
      <c r="J62">
        <v>72</v>
      </c>
      <c r="K62">
        <v>8</v>
      </c>
      <c r="L62" t="s">
        <v>43</v>
      </c>
      <c r="M62">
        <v>4.3813681581023145</v>
      </c>
      <c r="N62" t="s">
        <v>52</v>
      </c>
      <c r="O62" t="s">
        <v>29</v>
      </c>
      <c r="P62">
        <v>29</v>
      </c>
      <c r="Q62">
        <v>929</v>
      </c>
      <c r="R62">
        <v>24</v>
      </c>
      <c r="S62">
        <v>87.213057815135684</v>
      </c>
      <c r="T62" t="s">
        <v>46</v>
      </c>
      <c r="U62">
        <v>2.8530906166490539</v>
      </c>
      <c r="V62" t="s">
        <v>47</v>
      </c>
      <c r="W62" t="s">
        <v>48</v>
      </c>
      <c r="X62">
        <v>430.16909697513654</v>
      </c>
    </row>
    <row r="63" spans="1:24" x14ac:dyDescent="0.3">
      <c r="A63" t="s">
        <v>24</v>
      </c>
      <c r="B63" t="s">
        <v>115</v>
      </c>
      <c r="C63">
        <v>52.028749903294923</v>
      </c>
      <c r="D63">
        <v>23</v>
      </c>
      <c r="E63">
        <v>117</v>
      </c>
      <c r="F63">
        <v>6885.5893508962527</v>
      </c>
      <c r="G63" t="s">
        <v>38</v>
      </c>
      <c r="H63">
        <v>32</v>
      </c>
      <c r="I63">
        <v>23</v>
      </c>
      <c r="J63">
        <v>36</v>
      </c>
      <c r="K63">
        <v>7</v>
      </c>
      <c r="L63" t="s">
        <v>43</v>
      </c>
      <c r="M63">
        <v>9.0303404225219488</v>
      </c>
      <c r="N63" t="s">
        <v>52</v>
      </c>
      <c r="O63" t="s">
        <v>45</v>
      </c>
      <c r="P63">
        <v>14</v>
      </c>
      <c r="Q63">
        <v>480</v>
      </c>
      <c r="R63">
        <v>12</v>
      </c>
      <c r="S63">
        <v>78.702393968878894</v>
      </c>
      <c r="T63" t="s">
        <v>46</v>
      </c>
      <c r="U63">
        <v>4.3674705382050529</v>
      </c>
      <c r="V63" t="s">
        <v>40</v>
      </c>
      <c r="W63" t="s">
        <v>48</v>
      </c>
      <c r="X63">
        <v>164.36652824341942</v>
      </c>
    </row>
    <row r="64" spans="1:24" x14ac:dyDescent="0.3">
      <c r="A64" t="s">
        <v>57</v>
      </c>
      <c r="B64" t="s">
        <v>116</v>
      </c>
      <c r="C64">
        <v>72.796353955587364</v>
      </c>
      <c r="D64">
        <v>89</v>
      </c>
      <c r="E64">
        <v>270</v>
      </c>
      <c r="F64">
        <v>3899.7468337292244</v>
      </c>
      <c r="G64" t="s">
        <v>38</v>
      </c>
      <c r="H64">
        <v>86</v>
      </c>
      <c r="I64">
        <v>2</v>
      </c>
      <c r="J64">
        <v>40</v>
      </c>
      <c r="K64">
        <v>7</v>
      </c>
      <c r="L64" t="s">
        <v>43</v>
      </c>
      <c r="M64">
        <v>7.2917013887767759</v>
      </c>
      <c r="N64" t="s">
        <v>61</v>
      </c>
      <c r="O64" t="s">
        <v>29</v>
      </c>
      <c r="P64">
        <v>13</v>
      </c>
      <c r="Q64">
        <v>751</v>
      </c>
      <c r="R64">
        <v>14</v>
      </c>
      <c r="S64">
        <v>21.048642725168644</v>
      </c>
      <c r="T64" t="s">
        <v>64</v>
      </c>
      <c r="U64">
        <v>1.8740014040443747</v>
      </c>
      <c r="V64" t="s">
        <v>56</v>
      </c>
      <c r="W64" t="s">
        <v>41</v>
      </c>
      <c r="X64">
        <v>320.84651575911158</v>
      </c>
    </row>
    <row r="65" spans="1:24" x14ac:dyDescent="0.3">
      <c r="A65" t="s">
        <v>33</v>
      </c>
      <c r="B65" t="s">
        <v>117</v>
      </c>
      <c r="C65">
        <v>13.017376785287857</v>
      </c>
      <c r="D65">
        <v>55</v>
      </c>
      <c r="E65">
        <v>246</v>
      </c>
      <c r="F65">
        <v>4256.9491408502254</v>
      </c>
      <c r="G65" t="s">
        <v>26</v>
      </c>
      <c r="H65">
        <v>54</v>
      </c>
      <c r="I65">
        <v>19</v>
      </c>
      <c r="J65">
        <v>10</v>
      </c>
      <c r="K65">
        <v>4</v>
      </c>
      <c r="L65" t="s">
        <v>36</v>
      </c>
      <c r="M65">
        <v>2.45793352798733</v>
      </c>
      <c r="N65" t="s">
        <v>28</v>
      </c>
      <c r="O65" t="s">
        <v>53</v>
      </c>
      <c r="P65">
        <v>18</v>
      </c>
      <c r="Q65">
        <v>736</v>
      </c>
      <c r="R65">
        <v>10</v>
      </c>
      <c r="S65">
        <v>20.075003975630484</v>
      </c>
      <c r="T65" t="s">
        <v>30</v>
      </c>
      <c r="U65">
        <v>3.6328432903821337</v>
      </c>
      <c r="V65" t="s">
        <v>56</v>
      </c>
      <c r="W65" t="s">
        <v>48</v>
      </c>
      <c r="X65">
        <v>687.28617786641735</v>
      </c>
    </row>
    <row r="66" spans="1:24" x14ac:dyDescent="0.3">
      <c r="A66" t="s">
        <v>33</v>
      </c>
      <c r="B66" t="s">
        <v>118</v>
      </c>
      <c r="C66">
        <v>89.634095608135326</v>
      </c>
      <c r="D66">
        <v>11</v>
      </c>
      <c r="E66">
        <v>134</v>
      </c>
      <c r="F66">
        <v>8458.7308783671779</v>
      </c>
      <c r="G66" t="s">
        <v>35</v>
      </c>
      <c r="H66">
        <v>73</v>
      </c>
      <c r="I66">
        <v>27</v>
      </c>
      <c r="J66">
        <v>75</v>
      </c>
      <c r="K66">
        <v>6</v>
      </c>
      <c r="L66" t="s">
        <v>43</v>
      </c>
      <c r="M66">
        <v>4.5853534681946524</v>
      </c>
      <c r="N66" t="s">
        <v>39</v>
      </c>
      <c r="O66" t="s">
        <v>50</v>
      </c>
      <c r="P66">
        <v>17</v>
      </c>
      <c r="Q66">
        <v>328</v>
      </c>
      <c r="R66">
        <v>6</v>
      </c>
      <c r="S66">
        <v>8.6930424258772874</v>
      </c>
      <c r="T66" t="s">
        <v>46</v>
      </c>
      <c r="U66">
        <v>0.15948631471751462</v>
      </c>
      <c r="V66" t="s">
        <v>40</v>
      </c>
      <c r="W66" t="s">
        <v>41</v>
      </c>
      <c r="X66">
        <v>771.22508468115745</v>
      </c>
    </row>
    <row r="67" spans="1:24" x14ac:dyDescent="0.3">
      <c r="A67" t="s">
        <v>33</v>
      </c>
      <c r="B67" t="s">
        <v>119</v>
      </c>
      <c r="C67">
        <v>33.697717206643127</v>
      </c>
      <c r="D67">
        <v>72</v>
      </c>
      <c r="E67">
        <v>457</v>
      </c>
      <c r="F67">
        <v>8354.5796864819949</v>
      </c>
      <c r="G67" t="s">
        <v>55</v>
      </c>
      <c r="H67">
        <v>57</v>
      </c>
      <c r="I67">
        <v>24</v>
      </c>
      <c r="J67">
        <v>54</v>
      </c>
      <c r="K67">
        <v>8</v>
      </c>
      <c r="L67" t="s">
        <v>43</v>
      </c>
      <c r="M67">
        <v>6.5805413478845951</v>
      </c>
      <c r="N67" t="s">
        <v>44</v>
      </c>
      <c r="O67" t="s">
        <v>45</v>
      </c>
      <c r="P67">
        <v>16</v>
      </c>
      <c r="Q67">
        <v>358</v>
      </c>
      <c r="R67">
        <v>21</v>
      </c>
      <c r="S67">
        <v>1.5972227430506774</v>
      </c>
      <c r="T67" t="s">
        <v>46</v>
      </c>
      <c r="U67">
        <v>4.911095954842331</v>
      </c>
      <c r="V67" t="s">
        <v>47</v>
      </c>
      <c r="W67" t="s">
        <v>41</v>
      </c>
      <c r="X67">
        <v>555.85910367174347</v>
      </c>
    </row>
    <row r="68" spans="1:24" x14ac:dyDescent="0.3">
      <c r="A68" t="s">
        <v>33</v>
      </c>
      <c r="B68" t="s">
        <v>120</v>
      </c>
      <c r="C68">
        <v>26.034869773962086</v>
      </c>
      <c r="D68">
        <v>52</v>
      </c>
      <c r="E68">
        <v>704</v>
      </c>
      <c r="F68">
        <v>8367.721618020154</v>
      </c>
      <c r="G68" t="s">
        <v>35</v>
      </c>
      <c r="H68">
        <v>13</v>
      </c>
      <c r="I68">
        <v>17</v>
      </c>
      <c r="J68">
        <v>19</v>
      </c>
      <c r="K68">
        <v>8</v>
      </c>
      <c r="L68" t="s">
        <v>36</v>
      </c>
      <c r="M68">
        <v>2.2161427287713633</v>
      </c>
      <c r="N68" t="s">
        <v>44</v>
      </c>
      <c r="O68" t="s">
        <v>45</v>
      </c>
      <c r="P68">
        <v>24</v>
      </c>
      <c r="Q68">
        <v>867</v>
      </c>
      <c r="R68">
        <v>28</v>
      </c>
      <c r="S68">
        <v>42.084436738309961</v>
      </c>
      <c r="T68" t="s">
        <v>46</v>
      </c>
      <c r="U68">
        <v>3.4480632883402618</v>
      </c>
      <c r="V68" t="s">
        <v>31</v>
      </c>
      <c r="W68" t="s">
        <v>48</v>
      </c>
      <c r="X68">
        <v>393.84334857842788</v>
      </c>
    </row>
    <row r="69" spans="1:24" x14ac:dyDescent="0.3">
      <c r="A69" t="s">
        <v>33</v>
      </c>
      <c r="B69" t="s">
        <v>121</v>
      </c>
      <c r="C69">
        <v>87.755432354001073</v>
      </c>
      <c r="D69">
        <v>16</v>
      </c>
      <c r="E69">
        <v>513</v>
      </c>
      <c r="F69">
        <v>9473.7980325083372</v>
      </c>
      <c r="G69" t="s">
        <v>38</v>
      </c>
      <c r="H69">
        <v>12</v>
      </c>
      <c r="I69">
        <v>9</v>
      </c>
      <c r="J69">
        <v>71</v>
      </c>
      <c r="K69">
        <v>9</v>
      </c>
      <c r="L69" t="s">
        <v>43</v>
      </c>
      <c r="M69">
        <v>9.147811544710633</v>
      </c>
      <c r="N69" t="s">
        <v>39</v>
      </c>
      <c r="O69" t="s">
        <v>29</v>
      </c>
      <c r="P69">
        <v>10</v>
      </c>
      <c r="Q69">
        <v>198</v>
      </c>
      <c r="R69">
        <v>11</v>
      </c>
      <c r="S69">
        <v>7.0578761469782307</v>
      </c>
      <c r="T69" t="s">
        <v>64</v>
      </c>
      <c r="U69">
        <v>0.13195544431181483</v>
      </c>
      <c r="V69" t="s">
        <v>56</v>
      </c>
      <c r="W69" t="s">
        <v>41</v>
      </c>
      <c r="X69">
        <v>169.2718013847869</v>
      </c>
    </row>
    <row r="70" spans="1:24" x14ac:dyDescent="0.3">
      <c r="A70" t="s">
        <v>24</v>
      </c>
      <c r="B70" t="s">
        <v>122</v>
      </c>
      <c r="C70">
        <v>37.931812382790319</v>
      </c>
      <c r="D70">
        <v>29</v>
      </c>
      <c r="E70">
        <v>163</v>
      </c>
      <c r="F70">
        <v>3550.2184327809919</v>
      </c>
      <c r="G70" t="s">
        <v>26</v>
      </c>
      <c r="H70">
        <v>0</v>
      </c>
      <c r="I70">
        <v>8</v>
      </c>
      <c r="J70">
        <v>58</v>
      </c>
      <c r="K70">
        <v>8</v>
      </c>
      <c r="L70" t="s">
        <v>27</v>
      </c>
      <c r="M70">
        <v>1.1942518648849991</v>
      </c>
      <c r="N70" t="s">
        <v>61</v>
      </c>
      <c r="O70" t="s">
        <v>53</v>
      </c>
      <c r="P70">
        <v>2</v>
      </c>
      <c r="Q70">
        <v>375</v>
      </c>
      <c r="R70">
        <v>18</v>
      </c>
      <c r="S70">
        <v>97.113581563462205</v>
      </c>
      <c r="T70" t="s">
        <v>46</v>
      </c>
      <c r="U70">
        <v>1.9834678721741801</v>
      </c>
      <c r="V70" t="s">
        <v>47</v>
      </c>
      <c r="W70" t="s">
        <v>48</v>
      </c>
      <c r="X70">
        <v>299.70630311810316</v>
      </c>
    </row>
    <row r="71" spans="1:24" x14ac:dyDescent="0.3">
      <c r="A71" t="s">
        <v>33</v>
      </c>
      <c r="B71" t="s">
        <v>123</v>
      </c>
      <c r="C71">
        <v>54.865528517069791</v>
      </c>
      <c r="D71">
        <v>62</v>
      </c>
      <c r="E71">
        <v>511</v>
      </c>
      <c r="F71">
        <v>1752.3810874841247</v>
      </c>
      <c r="G71" t="s">
        <v>26</v>
      </c>
      <c r="H71">
        <v>95</v>
      </c>
      <c r="I71">
        <v>1</v>
      </c>
      <c r="J71">
        <v>27</v>
      </c>
      <c r="K71">
        <v>3</v>
      </c>
      <c r="L71" t="s">
        <v>27</v>
      </c>
      <c r="M71">
        <v>9.7052867901203488</v>
      </c>
      <c r="N71" t="s">
        <v>52</v>
      </c>
      <c r="O71" t="s">
        <v>45</v>
      </c>
      <c r="P71">
        <v>9</v>
      </c>
      <c r="Q71">
        <v>862</v>
      </c>
      <c r="R71">
        <v>7</v>
      </c>
      <c r="S71">
        <v>77.627765812748166</v>
      </c>
      <c r="T71" t="s">
        <v>30</v>
      </c>
      <c r="U71">
        <v>1.3623879886491086</v>
      </c>
      <c r="V71" t="s">
        <v>40</v>
      </c>
      <c r="W71" t="s">
        <v>48</v>
      </c>
      <c r="X71">
        <v>207.66320620857562</v>
      </c>
    </row>
    <row r="72" spans="1:24" x14ac:dyDescent="0.3">
      <c r="A72" t="s">
        <v>24</v>
      </c>
      <c r="B72" t="s">
        <v>124</v>
      </c>
      <c r="C72">
        <v>47.914541824058766</v>
      </c>
      <c r="D72">
        <v>90</v>
      </c>
      <c r="E72">
        <v>32</v>
      </c>
      <c r="F72">
        <v>7014.8879872033885</v>
      </c>
      <c r="G72" t="s">
        <v>35</v>
      </c>
      <c r="H72">
        <v>10</v>
      </c>
      <c r="I72">
        <v>12</v>
      </c>
      <c r="J72">
        <v>22</v>
      </c>
      <c r="K72">
        <v>4</v>
      </c>
      <c r="L72" t="s">
        <v>27</v>
      </c>
      <c r="M72">
        <v>6.3157177546007226</v>
      </c>
      <c r="N72" t="s">
        <v>39</v>
      </c>
      <c r="O72" t="s">
        <v>53</v>
      </c>
      <c r="P72">
        <v>22</v>
      </c>
      <c r="Q72">
        <v>775</v>
      </c>
      <c r="R72">
        <v>16</v>
      </c>
      <c r="S72">
        <v>11.440781823761265</v>
      </c>
      <c r="T72" t="s">
        <v>64</v>
      </c>
      <c r="U72">
        <v>1.8305755986122314</v>
      </c>
      <c r="V72" t="s">
        <v>31</v>
      </c>
      <c r="W72" t="s">
        <v>41</v>
      </c>
      <c r="X72">
        <v>183.27289874871101</v>
      </c>
    </row>
    <row r="73" spans="1:24" x14ac:dyDescent="0.3">
      <c r="A73" t="s">
        <v>57</v>
      </c>
      <c r="B73" t="s">
        <v>125</v>
      </c>
      <c r="C73">
        <v>6.3815331627479663</v>
      </c>
      <c r="D73">
        <v>14</v>
      </c>
      <c r="E73">
        <v>637</v>
      </c>
      <c r="F73">
        <v>8180.3370854254426</v>
      </c>
      <c r="G73" t="s">
        <v>35</v>
      </c>
      <c r="H73">
        <v>76</v>
      </c>
      <c r="I73">
        <v>2</v>
      </c>
      <c r="J73">
        <v>26</v>
      </c>
      <c r="K73">
        <v>6</v>
      </c>
      <c r="L73" t="s">
        <v>36</v>
      </c>
      <c r="M73">
        <v>9.2281903170525172</v>
      </c>
      <c r="N73" t="s">
        <v>61</v>
      </c>
      <c r="O73" t="s">
        <v>53</v>
      </c>
      <c r="P73">
        <v>2</v>
      </c>
      <c r="Q73">
        <v>258</v>
      </c>
      <c r="R73">
        <v>10</v>
      </c>
      <c r="S73">
        <v>30.661677477859556</v>
      </c>
      <c r="T73" t="s">
        <v>30</v>
      </c>
      <c r="U73">
        <v>2.0787506078749689</v>
      </c>
      <c r="V73" t="s">
        <v>31</v>
      </c>
      <c r="W73" t="s">
        <v>48</v>
      </c>
      <c r="X73">
        <v>405.16706788885585</v>
      </c>
    </row>
    <row r="74" spans="1:24" x14ac:dyDescent="0.3">
      <c r="A74" t="s">
        <v>57</v>
      </c>
      <c r="B74" t="s">
        <v>126</v>
      </c>
      <c r="C74">
        <v>90.204427520528071</v>
      </c>
      <c r="D74">
        <v>88</v>
      </c>
      <c r="E74">
        <v>478</v>
      </c>
      <c r="F74">
        <v>2633.1219813122557</v>
      </c>
      <c r="G74" t="s">
        <v>26</v>
      </c>
      <c r="H74">
        <v>57</v>
      </c>
      <c r="I74">
        <v>29</v>
      </c>
      <c r="J74">
        <v>77</v>
      </c>
      <c r="K74">
        <v>9</v>
      </c>
      <c r="L74" t="s">
        <v>36</v>
      </c>
      <c r="M74">
        <v>6.5996141596895441</v>
      </c>
      <c r="N74" t="s">
        <v>39</v>
      </c>
      <c r="O74" t="s">
        <v>53</v>
      </c>
      <c r="P74">
        <v>21</v>
      </c>
      <c r="Q74">
        <v>152</v>
      </c>
      <c r="R74">
        <v>11</v>
      </c>
      <c r="S74">
        <v>55.760492895244212</v>
      </c>
      <c r="T74" t="s">
        <v>30</v>
      </c>
      <c r="U74">
        <v>3.2133296074383089</v>
      </c>
      <c r="V74" t="s">
        <v>47</v>
      </c>
      <c r="W74" t="s">
        <v>32</v>
      </c>
      <c r="X74">
        <v>677.9445698461833</v>
      </c>
    </row>
    <row r="75" spans="1:24" x14ac:dyDescent="0.3">
      <c r="A75" t="s">
        <v>57</v>
      </c>
      <c r="B75" t="s">
        <v>127</v>
      </c>
      <c r="C75">
        <v>83.851017681304597</v>
      </c>
      <c r="D75">
        <v>41</v>
      </c>
      <c r="E75">
        <v>375</v>
      </c>
      <c r="F75">
        <v>7910.8869161406856</v>
      </c>
      <c r="G75" t="s">
        <v>55</v>
      </c>
      <c r="H75">
        <v>17</v>
      </c>
      <c r="I75">
        <v>25</v>
      </c>
      <c r="J75">
        <v>66</v>
      </c>
      <c r="K75">
        <v>5</v>
      </c>
      <c r="L75" t="s">
        <v>27</v>
      </c>
      <c r="M75">
        <v>1.5129368369160772</v>
      </c>
      <c r="N75" t="s">
        <v>52</v>
      </c>
      <c r="O75" t="s">
        <v>62</v>
      </c>
      <c r="P75">
        <v>13</v>
      </c>
      <c r="Q75">
        <v>444</v>
      </c>
      <c r="R75">
        <v>4</v>
      </c>
      <c r="S75">
        <v>46.870238797617155</v>
      </c>
      <c r="T75" t="s">
        <v>46</v>
      </c>
      <c r="U75">
        <v>4.6205460645137064</v>
      </c>
      <c r="V75" t="s">
        <v>31</v>
      </c>
      <c r="W75" t="s">
        <v>48</v>
      </c>
      <c r="X75">
        <v>866.4728001296578</v>
      </c>
    </row>
    <row r="76" spans="1:24" x14ac:dyDescent="0.3">
      <c r="A76" t="s">
        <v>24</v>
      </c>
      <c r="B76" t="s">
        <v>128</v>
      </c>
      <c r="C76">
        <v>3.1700114135661548</v>
      </c>
      <c r="D76">
        <v>64</v>
      </c>
      <c r="E76">
        <v>904</v>
      </c>
      <c r="F76">
        <v>5709.9452959692871</v>
      </c>
      <c r="G76" t="s">
        <v>35</v>
      </c>
      <c r="H76">
        <v>41</v>
      </c>
      <c r="I76">
        <v>6</v>
      </c>
      <c r="J76">
        <v>1</v>
      </c>
      <c r="K76">
        <v>5</v>
      </c>
      <c r="L76" t="s">
        <v>36</v>
      </c>
      <c r="M76">
        <v>5.2376546500374479</v>
      </c>
      <c r="N76" t="s">
        <v>52</v>
      </c>
      <c r="O76" t="s">
        <v>50</v>
      </c>
      <c r="P76">
        <v>1</v>
      </c>
      <c r="Q76">
        <v>919</v>
      </c>
      <c r="R76">
        <v>9</v>
      </c>
      <c r="S76">
        <v>80.580852156447818</v>
      </c>
      <c r="T76" t="s">
        <v>46</v>
      </c>
      <c r="U76">
        <v>0.39661272410993542</v>
      </c>
      <c r="V76" t="s">
        <v>47</v>
      </c>
      <c r="W76" t="s">
        <v>48</v>
      </c>
      <c r="X76">
        <v>341.55265678322337</v>
      </c>
    </row>
    <row r="77" spans="1:24" x14ac:dyDescent="0.3">
      <c r="A77" t="s">
        <v>33</v>
      </c>
      <c r="B77" t="s">
        <v>129</v>
      </c>
      <c r="C77">
        <v>92.996884233970661</v>
      </c>
      <c r="D77">
        <v>29</v>
      </c>
      <c r="E77">
        <v>106</v>
      </c>
      <c r="F77">
        <v>1889.073589779335</v>
      </c>
      <c r="G77" t="s">
        <v>26</v>
      </c>
      <c r="H77">
        <v>16</v>
      </c>
      <c r="I77">
        <v>20</v>
      </c>
      <c r="J77">
        <v>56</v>
      </c>
      <c r="K77">
        <v>10</v>
      </c>
      <c r="L77" t="s">
        <v>43</v>
      </c>
      <c r="M77">
        <v>2.4738977610454609</v>
      </c>
      <c r="N77" t="s">
        <v>39</v>
      </c>
      <c r="O77" t="s">
        <v>62</v>
      </c>
      <c r="P77">
        <v>25</v>
      </c>
      <c r="Q77">
        <v>759</v>
      </c>
      <c r="R77">
        <v>11</v>
      </c>
      <c r="S77">
        <v>48.064782640006591</v>
      </c>
      <c r="T77" t="s">
        <v>64</v>
      </c>
      <c r="U77">
        <v>2.0300690886687516</v>
      </c>
      <c r="V77" t="s">
        <v>40</v>
      </c>
      <c r="W77" t="s">
        <v>41</v>
      </c>
      <c r="X77">
        <v>873.12964801765145</v>
      </c>
    </row>
    <row r="78" spans="1:24" x14ac:dyDescent="0.3">
      <c r="A78" t="s">
        <v>24</v>
      </c>
      <c r="B78" t="s">
        <v>130</v>
      </c>
      <c r="C78">
        <v>69.108799547430323</v>
      </c>
      <c r="D78">
        <v>23</v>
      </c>
      <c r="E78">
        <v>241</v>
      </c>
      <c r="F78">
        <v>5328.3759842977579</v>
      </c>
      <c r="G78" t="s">
        <v>55</v>
      </c>
      <c r="H78">
        <v>38</v>
      </c>
      <c r="I78">
        <v>1</v>
      </c>
      <c r="J78">
        <v>22</v>
      </c>
      <c r="K78">
        <v>10</v>
      </c>
      <c r="L78" t="s">
        <v>36</v>
      </c>
      <c r="M78">
        <v>7.0545383368369263</v>
      </c>
      <c r="N78" t="s">
        <v>61</v>
      </c>
      <c r="O78" t="s">
        <v>53</v>
      </c>
      <c r="P78">
        <v>25</v>
      </c>
      <c r="Q78">
        <v>985</v>
      </c>
      <c r="R78">
        <v>24</v>
      </c>
      <c r="S78">
        <v>64.323597795600222</v>
      </c>
      <c r="T78" t="s">
        <v>30</v>
      </c>
      <c r="U78">
        <v>2.1800374515822165</v>
      </c>
      <c r="V78" t="s">
        <v>47</v>
      </c>
      <c r="W78" t="s">
        <v>48</v>
      </c>
      <c r="X78">
        <v>997.4134501331946</v>
      </c>
    </row>
    <row r="79" spans="1:24" x14ac:dyDescent="0.3">
      <c r="A79" t="s">
        <v>24</v>
      </c>
      <c r="B79" t="s">
        <v>131</v>
      </c>
      <c r="C79">
        <v>57.449742958971477</v>
      </c>
      <c r="D79">
        <v>14</v>
      </c>
      <c r="E79">
        <v>359</v>
      </c>
      <c r="F79">
        <v>2483.7601775427947</v>
      </c>
      <c r="G79" t="s">
        <v>38</v>
      </c>
      <c r="H79">
        <v>96</v>
      </c>
      <c r="I79">
        <v>28</v>
      </c>
      <c r="J79">
        <v>57</v>
      </c>
      <c r="K79">
        <v>4</v>
      </c>
      <c r="L79" t="s">
        <v>27</v>
      </c>
      <c r="M79">
        <v>6.7809466256178954</v>
      </c>
      <c r="N79" t="s">
        <v>39</v>
      </c>
      <c r="O79" t="s">
        <v>45</v>
      </c>
      <c r="P79">
        <v>26</v>
      </c>
      <c r="Q79">
        <v>334</v>
      </c>
      <c r="R79">
        <v>5</v>
      </c>
      <c r="S79">
        <v>42.952444748991837</v>
      </c>
      <c r="T79" t="s">
        <v>64</v>
      </c>
      <c r="U79">
        <v>3.0551418183075478</v>
      </c>
      <c r="V79" t="s">
        <v>31</v>
      </c>
      <c r="W79" t="s">
        <v>32</v>
      </c>
      <c r="X79">
        <v>852.56809891984994</v>
      </c>
    </row>
    <row r="80" spans="1:24" x14ac:dyDescent="0.3">
      <c r="A80" t="s">
        <v>24</v>
      </c>
      <c r="B80" t="s">
        <v>132</v>
      </c>
      <c r="C80">
        <v>6.3068831761119153</v>
      </c>
      <c r="D80">
        <v>50</v>
      </c>
      <c r="E80">
        <v>946</v>
      </c>
      <c r="F80">
        <v>1292.4584179377562</v>
      </c>
      <c r="G80" t="s">
        <v>38</v>
      </c>
      <c r="H80">
        <v>5</v>
      </c>
      <c r="I80">
        <v>4</v>
      </c>
      <c r="J80">
        <v>51</v>
      </c>
      <c r="K80">
        <v>5</v>
      </c>
      <c r="L80" t="s">
        <v>27</v>
      </c>
      <c r="M80">
        <v>8.4670497708619905</v>
      </c>
      <c r="N80" t="s">
        <v>44</v>
      </c>
      <c r="O80" t="s">
        <v>29</v>
      </c>
      <c r="P80">
        <v>25</v>
      </c>
      <c r="Q80">
        <v>858</v>
      </c>
      <c r="R80">
        <v>21</v>
      </c>
      <c r="S80">
        <v>71.126514720403378</v>
      </c>
      <c r="T80" t="s">
        <v>30</v>
      </c>
      <c r="U80">
        <v>4.0968813324704518</v>
      </c>
      <c r="V80" t="s">
        <v>56</v>
      </c>
      <c r="W80" t="s">
        <v>41</v>
      </c>
      <c r="X80">
        <v>323.59220343132216</v>
      </c>
    </row>
    <row r="81" spans="1:24" x14ac:dyDescent="0.3">
      <c r="A81" t="s">
        <v>24</v>
      </c>
      <c r="B81" t="s">
        <v>133</v>
      </c>
      <c r="C81">
        <v>57.057031221103223</v>
      </c>
      <c r="D81">
        <v>56</v>
      </c>
      <c r="E81">
        <v>198</v>
      </c>
      <c r="F81">
        <v>7888.7232684270812</v>
      </c>
      <c r="G81" t="s">
        <v>26</v>
      </c>
      <c r="H81">
        <v>31</v>
      </c>
      <c r="I81">
        <v>25</v>
      </c>
      <c r="J81">
        <v>20</v>
      </c>
      <c r="K81">
        <v>1</v>
      </c>
      <c r="L81" t="s">
        <v>27</v>
      </c>
      <c r="M81">
        <v>6.4963253642950445</v>
      </c>
      <c r="N81" t="s">
        <v>28</v>
      </c>
      <c r="O81" t="s">
        <v>53</v>
      </c>
      <c r="P81">
        <v>5</v>
      </c>
      <c r="Q81">
        <v>228</v>
      </c>
      <c r="R81">
        <v>12</v>
      </c>
      <c r="S81">
        <v>57.87090292403628</v>
      </c>
      <c r="T81" t="s">
        <v>30</v>
      </c>
      <c r="U81">
        <v>0.16587162748060824</v>
      </c>
      <c r="V81" t="s">
        <v>40</v>
      </c>
      <c r="W81" t="s">
        <v>41</v>
      </c>
      <c r="X81">
        <v>351.50421933503867</v>
      </c>
    </row>
    <row r="82" spans="1:24" x14ac:dyDescent="0.3">
      <c r="A82" t="s">
        <v>33</v>
      </c>
      <c r="B82" t="s">
        <v>134</v>
      </c>
      <c r="C82">
        <v>91.128318350444331</v>
      </c>
      <c r="D82">
        <v>75</v>
      </c>
      <c r="E82">
        <v>872</v>
      </c>
      <c r="F82">
        <v>8651.6726829820655</v>
      </c>
      <c r="G82" t="s">
        <v>38</v>
      </c>
      <c r="H82">
        <v>39</v>
      </c>
      <c r="I82">
        <v>14</v>
      </c>
      <c r="J82">
        <v>41</v>
      </c>
      <c r="K82">
        <v>2</v>
      </c>
      <c r="L82" t="s">
        <v>43</v>
      </c>
      <c r="M82">
        <v>2.8331846794189746</v>
      </c>
      <c r="N82" t="s">
        <v>28</v>
      </c>
      <c r="O82" t="s">
        <v>62</v>
      </c>
      <c r="P82">
        <v>8</v>
      </c>
      <c r="Q82">
        <v>202</v>
      </c>
      <c r="R82">
        <v>5</v>
      </c>
      <c r="S82">
        <v>76.961228023820013</v>
      </c>
      <c r="T82" t="s">
        <v>46</v>
      </c>
      <c r="U82">
        <v>2.8496621985053308</v>
      </c>
      <c r="V82" t="s">
        <v>56</v>
      </c>
      <c r="W82" t="s">
        <v>32</v>
      </c>
      <c r="X82">
        <v>787.77985049434449</v>
      </c>
    </row>
    <row r="83" spans="1:24" x14ac:dyDescent="0.3">
      <c r="A83" t="s">
        <v>24</v>
      </c>
      <c r="B83" t="s">
        <v>135</v>
      </c>
      <c r="C83">
        <v>72.819206930318217</v>
      </c>
      <c r="D83">
        <v>9</v>
      </c>
      <c r="E83">
        <v>774</v>
      </c>
      <c r="F83">
        <v>4384.4134000458625</v>
      </c>
      <c r="G83" t="s">
        <v>38</v>
      </c>
      <c r="H83">
        <v>48</v>
      </c>
      <c r="I83">
        <v>6</v>
      </c>
      <c r="J83">
        <v>8</v>
      </c>
      <c r="K83">
        <v>5</v>
      </c>
      <c r="L83" t="s">
        <v>27</v>
      </c>
      <c r="M83">
        <v>4.0662775015120438</v>
      </c>
      <c r="N83" t="s">
        <v>28</v>
      </c>
      <c r="O83" t="s">
        <v>50</v>
      </c>
      <c r="P83">
        <v>28</v>
      </c>
      <c r="Q83">
        <v>698</v>
      </c>
      <c r="R83">
        <v>1</v>
      </c>
      <c r="S83">
        <v>19.789592941903603</v>
      </c>
      <c r="T83" t="s">
        <v>30</v>
      </c>
      <c r="U83">
        <v>2.5475471215487118</v>
      </c>
      <c r="V83" t="s">
        <v>47</v>
      </c>
      <c r="W83" t="s">
        <v>32</v>
      </c>
      <c r="X83">
        <v>276.77833594679885</v>
      </c>
    </row>
    <row r="84" spans="1:24" x14ac:dyDescent="0.3">
      <c r="A84" t="s">
        <v>33</v>
      </c>
      <c r="B84" t="s">
        <v>136</v>
      </c>
      <c r="C84">
        <v>17.034930739467917</v>
      </c>
      <c r="D84">
        <v>13</v>
      </c>
      <c r="E84">
        <v>336</v>
      </c>
      <c r="F84">
        <v>2943.3818676094515</v>
      </c>
      <c r="G84" t="s">
        <v>38</v>
      </c>
      <c r="H84">
        <v>42</v>
      </c>
      <c r="I84">
        <v>19</v>
      </c>
      <c r="J84">
        <v>72</v>
      </c>
      <c r="K84">
        <v>1</v>
      </c>
      <c r="L84" t="s">
        <v>36</v>
      </c>
      <c r="M84">
        <v>4.7081818735419301</v>
      </c>
      <c r="N84" t="s">
        <v>61</v>
      </c>
      <c r="O84" t="s">
        <v>29</v>
      </c>
      <c r="P84">
        <v>6</v>
      </c>
      <c r="Q84">
        <v>955</v>
      </c>
      <c r="R84">
        <v>26</v>
      </c>
      <c r="S84">
        <v>4.4652784349432402</v>
      </c>
      <c r="T84" t="s">
        <v>30</v>
      </c>
      <c r="U84">
        <v>4.1378770486223573</v>
      </c>
      <c r="V84" t="s">
        <v>31</v>
      </c>
      <c r="W84" t="s">
        <v>41</v>
      </c>
      <c r="X84">
        <v>589.97855562804068</v>
      </c>
    </row>
    <row r="85" spans="1:24" x14ac:dyDescent="0.3">
      <c r="A85" t="s">
        <v>24</v>
      </c>
      <c r="B85" t="s">
        <v>137</v>
      </c>
      <c r="C85">
        <v>68.911246211606326</v>
      </c>
      <c r="D85">
        <v>82</v>
      </c>
      <c r="E85">
        <v>663</v>
      </c>
      <c r="F85">
        <v>2411.754632110491</v>
      </c>
      <c r="G85" t="s">
        <v>38</v>
      </c>
      <c r="H85">
        <v>65</v>
      </c>
      <c r="I85">
        <v>24</v>
      </c>
      <c r="J85">
        <v>7</v>
      </c>
      <c r="K85">
        <v>8</v>
      </c>
      <c r="L85" t="s">
        <v>27</v>
      </c>
      <c r="M85">
        <v>4.9498395779969488</v>
      </c>
      <c r="N85" t="s">
        <v>39</v>
      </c>
      <c r="O85" t="s">
        <v>53</v>
      </c>
      <c r="P85">
        <v>20</v>
      </c>
      <c r="Q85">
        <v>443</v>
      </c>
      <c r="R85">
        <v>5</v>
      </c>
      <c r="S85">
        <v>97.730593800533043</v>
      </c>
      <c r="T85" t="s">
        <v>46</v>
      </c>
      <c r="U85">
        <v>0.77300613406724783</v>
      </c>
      <c r="V85" t="s">
        <v>31</v>
      </c>
      <c r="W85" t="s">
        <v>48</v>
      </c>
      <c r="X85">
        <v>682.97101822609329</v>
      </c>
    </row>
    <row r="86" spans="1:24" x14ac:dyDescent="0.3">
      <c r="A86" t="s">
        <v>24</v>
      </c>
      <c r="B86" t="s">
        <v>138</v>
      </c>
      <c r="C86">
        <v>89.104367292102253</v>
      </c>
      <c r="D86">
        <v>99</v>
      </c>
      <c r="E86">
        <v>618</v>
      </c>
      <c r="F86">
        <v>2048.2900998487103</v>
      </c>
      <c r="G86" t="s">
        <v>38</v>
      </c>
      <c r="H86">
        <v>73</v>
      </c>
      <c r="I86">
        <v>26</v>
      </c>
      <c r="J86">
        <v>80</v>
      </c>
      <c r="K86">
        <v>10</v>
      </c>
      <c r="L86" t="s">
        <v>36</v>
      </c>
      <c r="M86">
        <v>8.381615624922631</v>
      </c>
      <c r="N86" t="s">
        <v>44</v>
      </c>
      <c r="O86" t="s">
        <v>62</v>
      </c>
      <c r="P86">
        <v>24</v>
      </c>
      <c r="Q86">
        <v>589</v>
      </c>
      <c r="R86">
        <v>22</v>
      </c>
      <c r="S86">
        <v>33.808636513209095</v>
      </c>
      <c r="T86" t="s">
        <v>64</v>
      </c>
      <c r="U86">
        <v>4.8434565771180411</v>
      </c>
      <c r="V86" t="s">
        <v>40</v>
      </c>
      <c r="W86" t="s">
        <v>32</v>
      </c>
      <c r="X86">
        <v>465.45700596368795</v>
      </c>
    </row>
    <row r="87" spans="1:24" x14ac:dyDescent="0.3">
      <c r="A87" t="s">
        <v>57</v>
      </c>
      <c r="B87" t="s">
        <v>139</v>
      </c>
      <c r="C87">
        <v>76.962994415193876</v>
      </c>
      <c r="D87">
        <v>83</v>
      </c>
      <c r="E87">
        <v>25</v>
      </c>
      <c r="F87">
        <v>8684.6130592538575</v>
      </c>
      <c r="G87" t="s">
        <v>35</v>
      </c>
      <c r="H87">
        <v>15</v>
      </c>
      <c r="I87">
        <v>18</v>
      </c>
      <c r="J87">
        <v>66</v>
      </c>
      <c r="K87">
        <v>2</v>
      </c>
      <c r="L87" t="s">
        <v>43</v>
      </c>
      <c r="M87">
        <v>8.2491687048717282</v>
      </c>
      <c r="N87" t="s">
        <v>44</v>
      </c>
      <c r="O87" t="s">
        <v>62</v>
      </c>
      <c r="P87">
        <v>4</v>
      </c>
      <c r="Q87">
        <v>211</v>
      </c>
      <c r="R87">
        <v>2</v>
      </c>
      <c r="S87">
        <v>69.929345518672307</v>
      </c>
      <c r="T87" t="s">
        <v>46</v>
      </c>
      <c r="U87">
        <v>1.3744289997457582</v>
      </c>
      <c r="V87" t="s">
        <v>31</v>
      </c>
      <c r="W87" t="s">
        <v>32</v>
      </c>
      <c r="X87">
        <v>842.68683000464148</v>
      </c>
    </row>
    <row r="88" spans="1:24" x14ac:dyDescent="0.3">
      <c r="A88" t="s">
        <v>33</v>
      </c>
      <c r="B88" t="s">
        <v>140</v>
      </c>
      <c r="C88">
        <v>19.998176940404221</v>
      </c>
      <c r="D88">
        <v>18</v>
      </c>
      <c r="E88">
        <v>223</v>
      </c>
      <c r="F88">
        <v>1229.5910285649834</v>
      </c>
      <c r="G88" t="s">
        <v>38</v>
      </c>
      <c r="H88">
        <v>32</v>
      </c>
      <c r="I88">
        <v>14</v>
      </c>
      <c r="J88">
        <v>22</v>
      </c>
      <c r="K88">
        <v>6</v>
      </c>
      <c r="L88" t="s">
        <v>27</v>
      </c>
      <c r="M88">
        <v>1.4543053101535515</v>
      </c>
      <c r="N88" t="s">
        <v>39</v>
      </c>
      <c r="O88" t="s">
        <v>29</v>
      </c>
      <c r="P88">
        <v>4</v>
      </c>
      <c r="Q88">
        <v>569</v>
      </c>
      <c r="R88">
        <v>18</v>
      </c>
      <c r="S88">
        <v>74.608969995194684</v>
      </c>
      <c r="T88" t="s">
        <v>64</v>
      </c>
      <c r="U88">
        <v>2.0515129307662465</v>
      </c>
      <c r="V88" t="s">
        <v>47</v>
      </c>
      <c r="W88" t="s">
        <v>48</v>
      </c>
      <c r="X88">
        <v>264.25488983586649</v>
      </c>
    </row>
    <row r="89" spans="1:24" x14ac:dyDescent="0.3">
      <c r="A89" t="s">
        <v>24</v>
      </c>
      <c r="B89" t="s">
        <v>141</v>
      </c>
      <c r="C89">
        <v>80.41403665035574</v>
      </c>
      <c r="D89">
        <v>24</v>
      </c>
      <c r="E89">
        <v>79</v>
      </c>
      <c r="F89">
        <v>5133.8467010866916</v>
      </c>
      <c r="G89" t="s">
        <v>55</v>
      </c>
      <c r="H89">
        <v>5</v>
      </c>
      <c r="I89">
        <v>7</v>
      </c>
      <c r="J89">
        <v>55</v>
      </c>
      <c r="K89">
        <v>10</v>
      </c>
      <c r="L89" t="s">
        <v>36</v>
      </c>
      <c r="M89">
        <v>6.5758037975485353</v>
      </c>
      <c r="N89" t="s">
        <v>28</v>
      </c>
      <c r="O89" t="s">
        <v>62</v>
      </c>
      <c r="P89">
        <v>27</v>
      </c>
      <c r="Q89">
        <v>523</v>
      </c>
      <c r="R89">
        <v>17</v>
      </c>
      <c r="S89">
        <v>28.69699682414317</v>
      </c>
      <c r="T89" t="s">
        <v>46</v>
      </c>
      <c r="U89">
        <v>3.6937377878392756</v>
      </c>
      <c r="V89" t="s">
        <v>56</v>
      </c>
      <c r="W89" t="s">
        <v>32</v>
      </c>
      <c r="X89">
        <v>879.3592177349243</v>
      </c>
    </row>
    <row r="90" spans="1:24" x14ac:dyDescent="0.3">
      <c r="A90" t="s">
        <v>57</v>
      </c>
      <c r="B90" t="s">
        <v>142</v>
      </c>
      <c r="C90">
        <v>75.27040697572501</v>
      </c>
      <c r="D90">
        <v>58</v>
      </c>
      <c r="E90">
        <v>737</v>
      </c>
      <c r="F90">
        <v>9444.7420330629793</v>
      </c>
      <c r="G90" t="s">
        <v>55</v>
      </c>
      <c r="H90">
        <v>60</v>
      </c>
      <c r="I90">
        <v>18</v>
      </c>
      <c r="J90">
        <v>85</v>
      </c>
      <c r="K90">
        <v>7</v>
      </c>
      <c r="L90" t="s">
        <v>36</v>
      </c>
      <c r="M90">
        <v>3.8012531329310777</v>
      </c>
      <c r="N90" t="s">
        <v>61</v>
      </c>
      <c r="O90" t="s">
        <v>29</v>
      </c>
      <c r="P90">
        <v>21</v>
      </c>
      <c r="Q90">
        <v>953</v>
      </c>
      <c r="R90">
        <v>11</v>
      </c>
      <c r="S90">
        <v>68.184919057041171</v>
      </c>
      <c r="T90" t="s">
        <v>30</v>
      </c>
      <c r="U90">
        <v>0.722204401882931</v>
      </c>
      <c r="V90" t="s">
        <v>56</v>
      </c>
      <c r="W90" t="s">
        <v>48</v>
      </c>
      <c r="X90">
        <v>103.91624796070495</v>
      </c>
    </row>
    <row r="91" spans="1:24" x14ac:dyDescent="0.3">
      <c r="A91" t="s">
        <v>57</v>
      </c>
      <c r="B91" t="s">
        <v>143</v>
      </c>
      <c r="C91">
        <v>97.760085581938668</v>
      </c>
      <c r="D91">
        <v>10</v>
      </c>
      <c r="E91">
        <v>134</v>
      </c>
      <c r="F91">
        <v>5924.682566853231</v>
      </c>
      <c r="G91" t="s">
        <v>38</v>
      </c>
      <c r="H91">
        <v>90</v>
      </c>
      <c r="I91">
        <v>1</v>
      </c>
      <c r="J91">
        <v>27</v>
      </c>
      <c r="K91">
        <v>8</v>
      </c>
      <c r="L91" t="s">
        <v>27</v>
      </c>
      <c r="M91">
        <v>9.9298162452772587</v>
      </c>
      <c r="N91" t="s">
        <v>39</v>
      </c>
      <c r="O91" t="s">
        <v>45</v>
      </c>
      <c r="P91">
        <v>23</v>
      </c>
      <c r="Q91">
        <v>370</v>
      </c>
      <c r="R91">
        <v>11</v>
      </c>
      <c r="S91">
        <v>46.603873381644469</v>
      </c>
      <c r="T91" t="s">
        <v>30</v>
      </c>
      <c r="U91">
        <v>1.9076657339590746</v>
      </c>
      <c r="V91" t="s">
        <v>47</v>
      </c>
      <c r="W91" t="s">
        <v>32</v>
      </c>
      <c r="X91">
        <v>517.4999739290605</v>
      </c>
    </row>
    <row r="92" spans="1:24" x14ac:dyDescent="0.3">
      <c r="A92" t="s">
        <v>33</v>
      </c>
      <c r="B92" t="s">
        <v>144</v>
      </c>
      <c r="C92">
        <v>13.881913501359142</v>
      </c>
      <c r="D92">
        <v>56</v>
      </c>
      <c r="E92">
        <v>320</v>
      </c>
      <c r="F92">
        <v>9592.6335702803117</v>
      </c>
      <c r="G92" t="s">
        <v>26</v>
      </c>
      <c r="H92">
        <v>66</v>
      </c>
      <c r="I92">
        <v>18</v>
      </c>
      <c r="J92">
        <v>96</v>
      </c>
      <c r="K92">
        <v>7</v>
      </c>
      <c r="L92" t="s">
        <v>27</v>
      </c>
      <c r="M92">
        <v>7.6744307081126939</v>
      </c>
      <c r="N92" t="s">
        <v>28</v>
      </c>
      <c r="O92" t="s">
        <v>53</v>
      </c>
      <c r="P92">
        <v>8</v>
      </c>
      <c r="Q92">
        <v>585</v>
      </c>
      <c r="R92">
        <v>8</v>
      </c>
      <c r="S92">
        <v>85.675963335797974</v>
      </c>
      <c r="T92" t="s">
        <v>64</v>
      </c>
      <c r="U92">
        <v>1.2193822244013885</v>
      </c>
      <c r="V92" t="s">
        <v>47</v>
      </c>
      <c r="W92" t="s">
        <v>32</v>
      </c>
      <c r="X92">
        <v>990.07847250581119</v>
      </c>
    </row>
    <row r="93" spans="1:24" x14ac:dyDescent="0.3">
      <c r="A93" t="s">
        <v>57</v>
      </c>
      <c r="B93" t="s">
        <v>145</v>
      </c>
      <c r="C93">
        <v>62.111965463961788</v>
      </c>
      <c r="D93">
        <v>90</v>
      </c>
      <c r="E93">
        <v>916</v>
      </c>
      <c r="F93">
        <v>1935.2067935075991</v>
      </c>
      <c r="G93" t="s">
        <v>55</v>
      </c>
      <c r="H93">
        <v>98</v>
      </c>
      <c r="I93">
        <v>22</v>
      </c>
      <c r="J93">
        <v>85</v>
      </c>
      <c r="K93">
        <v>7</v>
      </c>
      <c r="L93" t="s">
        <v>27</v>
      </c>
      <c r="M93">
        <v>7.4715140844011456</v>
      </c>
      <c r="N93" t="s">
        <v>52</v>
      </c>
      <c r="O93" t="s">
        <v>50</v>
      </c>
      <c r="P93">
        <v>5</v>
      </c>
      <c r="Q93">
        <v>207</v>
      </c>
      <c r="R93">
        <v>28</v>
      </c>
      <c r="S93">
        <v>39.772882502339975</v>
      </c>
      <c r="T93" t="s">
        <v>30</v>
      </c>
      <c r="U93">
        <v>0.62600185820939458</v>
      </c>
      <c r="V93" t="s">
        <v>47</v>
      </c>
      <c r="W93" t="s">
        <v>32</v>
      </c>
      <c r="X93">
        <v>996.77831495062378</v>
      </c>
    </row>
    <row r="94" spans="1:24" x14ac:dyDescent="0.3">
      <c r="A94" t="s">
        <v>57</v>
      </c>
      <c r="B94" t="s">
        <v>146</v>
      </c>
      <c r="C94">
        <v>47.714233075820232</v>
      </c>
      <c r="D94">
        <v>44</v>
      </c>
      <c r="E94">
        <v>276</v>
      </c>
      <c r="F94">
        <v>2100.1297546259366</v>
      </c>
      <c r="G94" t="s">
        <v>55</v>
      </c>
      <c r="H94">
        <v>90</v>
      </c>
      <c r="I94">
        <v>25</v>
      </c>
      <c r="J94">
        <v>10</v>
      </c>
      <c r="K94">
        <v>8</v>
      </c>
      <c r="L94" t="s">
        <v>27</v>
      </c>
      <c r="M94">
        <v>4.4695000261236011</v>
      </c>
      <c r="N94" t="s">
        <v>61</v>
      </c>
      <c r="O94" t="s">
        <v>29</v>
      </c>
      <c r="P94">
        <v>4</v>
      </c>
      <c r="Q94">
        <v>671</v>
      </c>
      <c r="R94">
        <v>29</v>
      </c>
      <c r="S94">
        <v>62.612690395614344</v>
      </c>
      <c r="T94" t="s">
        <v>64</v>
      </c>
      <c r="U94">
        <v>0.33343182522473924</v>
      </c>
      <c r="V94" t="s">
        <v>47</v>
      </c>
      <c r="W94" t="s">
        <v>32</v>
      </c>
      <c r="X94">
        <v>230.09278253676294</v>
      </c>
    </row>
    <row r="95" spans="1:24" x14ac:dyDescent="0.3">
      <c r="A95" t="s">
        <v>24</v>
      </c>
      <c r="B95" t="s">
        <v>147</v>
      </c>
      <c r="C95">
        <v>69.290831002905492</v>
      </c>
      <c r="D95">
        <v>88</v>
      </c>
      <c r="E95">
        <v>114</v>
      </c>
      <c r="F95">
        <v>4531.4021336919095</v>
      </c>
      <c r="G95" t="s">
        <v>38</v>
      </c>
      <c r="H95">
        <v>63</v>
      </c>
      <c r="I95">
        <v>17</v>
      </c>
      <c r="J95">
        <v>66</v>
      </c>
      <c r="K95">
        <v>1</v>
      </c>
      <c r="L95" t="s">
        <v>43</v>
      </c>
      <c r="M95">
        <v>7.0064320590043945</v>
      </c>
      <c r="N95" t="s">
        <v>52</v>
      </c>
      <c r="O95" t="s">
        <v>62</v>
      </c>
      <c r="P95">
        <v>21</v>
      </c>
      <c r="Q95">
        <v>824</v>
      </c>
      <c r="R95">
        <v>20</v>
      </c>
      <c r="S95">
        <v>35.633652343343876</v>
      </c>
      <c r="T95" t="s">
        <v>46</v>
      </c>
      <c r="U95">
        <v>4.1657817954241452</v>
      </c>
      <c r="V95" t="s">
        <v>40</v>
      </c>
      <c r="W95" t="s">
        <v>48</v>
      </c>
      <c r="X95">
        <v>823.52384588815585</v>
      </c>
    </row>
    <row r="96" spans="1:24" x14ac:dyDescent="0.3">
      <c r="A96" t="s">
        <v>57</v>
      </c>
      <c r="B96" t="s">
        <v>148</v>
      </c>
      <c r="C96">
        <v>3.0376887246314141</v>
      </c>
      <c r="D96">
        <v>97</v>
      </c>
      <c r="E96">
        <v>987</v>
      </c>
      <c r="F96">
        <v>7888.3565466618729</v>
      </c>
      <c r="G96" t="s">
        <v>38</v>
      </c>
      <c r="H96">
        <v>77</v>
      </c>
      <c r="I96">
        <v>26</v>
      </c>
      <c r="J96">
        <v>72</v>
      </c>
      <c r="K96">
        <v>9</v>
      </c>
      <c r="L96" t="s">
        <v>27</v>
      </c>
      <c r="M96">
        <v>6.9429459420325808</v>
      </c>
      <c r="N96" t="s">
        <v>61</v>
      </c>
      <c r="O96" t="s">
        <v>50</v>
      </c>
      <c r="P96">
        <v>12</v>
      </c>
      <c r="Q96">
        <v>908</v>
      </c>
      <c r="R96">
        <v>14</v>
      </c>
      <c r="S96">
        <v>60.387378614862122</v>
      </c>
      <c r="T96" t="s">
        <v>64</v>
      </c>
      <c r="U96">
        <v>1.4636074984727798</v>
      </c>
      <c r="V96" t="s">
        <v>47</v>
      </c>
      <c r="W96" t="s">
        <v>32</v>
      </c>
      <c r="X96">
        <v>846.66525698669477</v>
      </c>
    </row>
    <row r="97" spans="1:24" x14ac:dyDescent="0.3">
      <c r="A97" t="s">
        <v>24</v>
      </c>
      <c r="B97" t="s">
        <v>149</v>
      </c>
      <c r="C97">
        <v>77.903927219447752</v>
      </c>
      <c r="D97">
        <v>65</v>
      </c>
      <c r="E97">
        <v>672</v>
      </c>
      <c r="F97">
        <v>7386.3639440486641</v>
      </c>
      <c r="G97" t="s">
        <v>38</v>
      </c>
      <c r="H97">
        <v>15</v>
      </c>
      <c r="I97">
        <v>14</v>
      </c>
      <c r="J97">
        <v>26</v>
      </c>
      <c r="K97">
        <v>9</v>
      </c>
      <c r="L97" t="s">
        <v>27</v>
      </c>
      <c r="M97">
        <v>8.6303388696027543</v>
      </c>
      <c r="N97" t="s">
        <v>52</v>
      </c>
      <c r="O97" t="s">
        <v>29</v>
      </c>
      <c r="P97">
        <v>18</v>
      </c>
      <c r="Q97">
        <v>450</v>
      </c>
      <c r="R97">
        <v>26</v>
      </c>
      <c r="S97">
        <v>58.890685768589982</v>
      </c>
      <c r="T97" t="s">
        <v>30</v>
      </c>
      <c r="U97">
        <v>1.2108821295850665</v>
      </c>
      <c r="V97" t="s">
        <v>40</v>
      </c>
      <c r="W97" t="s">
        <v>48</v>
      </c>
      <c r="X97">
        <v>778.8642413766479</v>
      </c>
    </row>
    <row r="98" spans="1:24" x14ac:dyDescent="0.3">
      <c r="A98" t="s">
        <v>57</v>
      </c>
      <c r="B98" t="s">
        <v>150</v>
      </c>
      <c r="C98">
        <v>24.42313142037338</v>
      </c>
      <c r="D98">
        <v>29</v>
      </c>
      <c r="E98">
        <v>324</v>
      </c>
      <c r="F98">
        <v>7698.4247656321168</v>
      </c>
      <c r="G98" t="s">
        <v>26</v>
      </c>
      <c r="H98">
        <v>67</v>
      </c>
      <c r="I98">
        <v>2</v>
      </c>
      <c r="J98">
        <v>32</v>
      </c>
      <c r="K98">
        <v>3</v>
      </c>
      <c r="L98" t="s">
        <v>43</v>
      </c>
      <c r="M98">
        <v>5.3528780439968093</v>
      </c>
      <c r="N98" t="s">
        <v>28</v>
      </c>
      <c r="O98" t="s">
        <v>29</v>
      </c>
      <c r="P98">
        <v>28</v>
      </c>
      <c r="Q98">
        <v>648</v>
      </c>
      <c r="R98">
        <v>28</v>
      </c>
      <c r="S98">
        <v>17.80375633139127</v>
      </c>
      <c r="T98" t="s">
        <v>30</v>
      </c>
      <c r="U98">
        <v>3.8720476814821332</v>
      </c>
      <c r="V98" t="s">
        <v>31</v>
      </c>
      <c r="W98" t="s">
        <v>48</v>
      </c>
      <c r="X98">
        <v>188.74214114905698</v>
      </c>
    </row>
    <row r="99" spans="1:24" x14ac:dyDescent="0.3">
      <c r="A99" t="s">
        <v>24</v>
      </c>
      <c r="B99" t="s">
        <v>151</v>
      </c>
      <c r="C99">
        <v>3.5261112591434158</v>
      </c>
      <c r="D99">
        <v>56</v>
      </c>
      <c r="E99">
        <v>62</v>
      </c>
      <c r="F99">
        <v>4370.9165799845359</v>
      </c>
      <c r="G99" t="s">
        <v>55</v>
      </c>
      <c r="H99">
        <v>46</v>
      </c>
      <c r="I99">
        <v>19</v>
      </c>
      <c r="J99">
        <v>4</v>
      </c>
      <c r="K99">
        <v>9</v>
      </c>
      <c r="L99" t="s">
        <v>36</v>
      </c>
      <c r="M99">
        <v>7.9048456112096748</v>
      </c>
      <c r="N99" t="s">
        <v>52</v>
      </c>
      <c r="O99" t="s">
        <v>29</v>
      </c>
      <c r="P99">
        <v>10</v>
      </c>
      <c r="Q99">
        <v>535</v>
      </c>
      <c r="R99">
        <v>13</v>
      </c>
      <c r="S99">
        <v>65.765155926367456</v>
      </c>
      <c r="T99" t="s">
        <v>46</v>
      </c>
      <c r="U99">
        <v>3.3762378347179811</v>
      </c>
      <c r="V99" t="s">
        <v>31</v>
      </c>
      <c r="W99" t="s">
        <v>48</v>
      </c>
      <c r="X99">
        <v>540.13242286796776</v>
      </c>
    </row>
    <row r="100" spans="1:24" x14ac:dyDescent="0.3">
      <c r="A100" t="s">
        <v>33</v>
      </c>
      <c r="B100" t="s">
        <v>152</v>
      </c>
      <c r="C100">
        <v>19.754604866878601</v>
      </c>
      <c r="D100">
        <v>43</v>
      </c>
      <c r="E100">
        <v>913</v>
      </c>
      <c r="F100">
        <v>8525.9525596835265</v>
      </c>
      <c r="G100" t="s">
        <v>35</v>
      </c>
      <c r="H100">
        <v>53</v>
      </c>
      <c r="I100">
        <v>1</v>
      </c>
      <c r="J100">
        <v>27</v>
      </c>
      <c r="K100">
        <v>7</v>
      </c>
      <c r="L100" t="s">
        <v>27</v>
      </c>
      <c r="M100">
        <v>1.4098010951380731</v>
      </c>
      <c r="N100" t="s">
        <v>44</v>
      </c>
      <c r="O100" t="s">
        <v>62</v>
      </c>
      <c r="P100">
        <v>28</v>
      </c>
      <c r="Q100">
        <v>581</v>
      </c>
      <c r="R100">
        <v>9</v>
      </c>
      <c r="S100">
        <v>5.604690864371781</v>
      </c>
      <c r="T100" t="s">
        <v>30</v>
      </c>
      <c r="U100">
        <v>2.9081221693512611</v>
      </c>
      <c r="V100" t="s">
        <v>47</v>
      </c>
      <c r="W100" t="s">
        <v>48</v>
      </c>
      <c r="X100">
        <v>882.19886354704147</v>
      </c>
    </row>
    <row r="101" spans="1:24" x14ac:dyDescent="0.3">
      <c r="A101" t="s">
        <v>24</v>
      </c>
      <c r="B101" t="s">
        <v>153</v>
      </c>
      <c r="C101">
        <v>68.517832699276639</v>
      </c>
      <c r="D101">
        <v>17</v>
      </c>
      <c r="E101">
        <v>627</v>
      </c>
      <c r="F101">
        <v>9185.1858291817043</v>
      </c>
      <c r="G101" t="s">
        <v>38</v>
      </c>
      <c r="H101">
        <v>55</v>
      </c>
      <c r="I101">
        <v>8</v>
      </c>
      <c r="J101">
        <v>59</v>
      </c>
      <c r="K101">
        <v>6</v>
      </c>
      <c r="L101" t="s">
        <v>27</v>
      </c>
      <c r="M101">
        <v>1.3110237561206226</v>
      </c>
      <c r="N101" t="s">
        <v>61</v>
      </c>
      <c r="O101" t="s">
        <v>62</v>
      </c>
      <c r="P101">
        <v>29</v>
      </c>
      <c r="Q101">
        <v>921</v>
      </c>
      <c r="R101">
        <v>2</v>
      </c>
      <c r="S101">
        <v>38.07289852062604</v>
      </c>
      <c r="T101" t="s">
        <v>46</v>
      </c>
      <c r="U101">
        <v>0.34602729070550342</v>
      </c>
      <c r="V101" t="s">
        <v>47</v>
      </c>
      <c r="W101" t="s">
        <v>32</v>
      </c>
      <c r="X101">
        <v>210.74300896424614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94C78-54F9-46D1-95E7-CAB9C84A1C09}">
  <dimension ref="A1:AE101"/>
  <sheetViews>
    <sheetView topLeftCell="A2" workbookViewId="0">
      <selection activeCell="A2" sqref="A2"/>
    </sheetView>
  </sheetViews>
  <sheetFormatPr defaultRowHeight="14.4" x14ac:dyDescent="0.3"/>
  <cols>
    <col min="1" max="1" width="15" customWidth="1"/>
    <col min="3" max="3" width="14" style="1" customWidth="1"/>
    <col min="4" max="4" width="15.33203125" style="3" customWidth="1"/>
    <col min="5" max="5" width="24.44140625" style="3" bestFit="1" customWidth="1"/>
    <col min="6" max="6" width="22.77734375" style="5" customWidth="1"/>
    <col min="7" max="7" width="24" bestFit="1" customWidth="1"/>
    <col min="8" max="8" width="14.21875" style="3" customWidth="1"/>
    <col min="9" max="9" width="13.33203125" customWidth="1"/>
    <col min="10" max="10" width="20.88671875" style="3" customWidth="1"/>
    <col min="11" max="11" width="20.44140625" customWidth="1"/>
    <col min="12" max="12" width="17.21875" customWidth="1"/>
    <col min="13" max="13" width="15.88671875" style="1" customWidth="1"/>
    <col min="14" max="14" width="18.33203125" customWidth="1"/>
    <col min="15" max="15" width="15.33203125" customWidth="1"/>
    <col min="16" max="16" width="16.77734375" style="3" customWidth="1"/>
    <col min="17" max="17" width="21" style="3" customWidth="1"/>
    <col min="18" max="18" width="25.21875" style="3" customWidth="1"/>
    <col min="19" max="19" width="22.44140625" style="1" customWidth="1"/>
    <col min="20" max="20" width="11.88671875" customWidth="1"/>
    <col min="21" max="21" width="16.6640625" style="2" customWidth="1"/>
    <col min="22" max="22" width="15.6640625" customWidth="1"/>
    <col min="23" max="23" width="11.44140625" customWidth="1"/>
    <col min="24" max="24" width="14.6640625" style="1" customWidth="1"/>
    <col min="25" max="25" width="16.88671875" style="1" customWidth="1"/>
    <col min="26" max="26" width="16.6640625" customWidth="1"/>
    <col min="27" max="27" width="20.109375" customWidth="1"/>
    <col min="28" max="28" width="17.21875" customWidth="1"/>
    <col min="29" max="29" width="28.5546875" style="1" customWidth="1"/>
    <col min="30" max="30" width="23.33203125" style="1" customWidth="1"/>
    <col min="31" max="31" width="22" customWidth="1"/>
  </cols>
  <sheetData>
    <row r="1" spans="1:31" x14ac:dyDescent="0.3">
      <c r="A1" t="s">
        <v>0</v>
      </c>
      <c r="B1" t="s">
        <v>1</v>
      </c>
      <c r="C1" s="1" t="s">
        <v>2</v>
      </c>
      <c r="D1" s="3" t="s">
        <v>3</v>
      </c>
      <c r="E1" s="3" t="s">
        <v>155</v>
      </c>
      <c r="F1" s="5" t="s">
        <v>156</v>
      </c>
      <c r="G1" t="s">
        <v>174</v>
      </c>
      <c r="H1" s="3" t="s">
        <v>158</v>
      </c>
      <c r="I1" s="2" t="s">
        <v>173</v>
      </c>
      <c r="J1" s="3" t="s">
        <v>172</v>
      </c>
      <c r="K1" t="s">
        <v>171</v>
      </c>
      <c r="L1" t="s">
        <v>170</v>
      </c>
      <c r="M1" s="1" t="s">
        <v>169</v>
      </c>
      <c r="N1" t="s">
        <v>168</v>
      </c>
      <c r="O1" t="s">
        <v>14</v>
      </c>
      <c r="P1" s="3" t="s">
        <v>160</v>
      </c>
      <c r="Q1" s="3" t="s">
        <v>164</v>
      </c>
      <c r="R1" s="3" t="s">
        <v>165</v>
      </c>
      <c r="S1" s="1" t="s">
        <v>166</v>
      </c>
      <c r="T1" t="s">
        <v>19</v>
      </c>
      <c r="U1" s="2" t="s">
        <v>162</v>
      </c>
      <c r="V1" t="s">
        <v>21</v>
      </c>
      <c r="W1" t="s">
        <v>22</v>
      </c>
      <c r="X1" s="1" t="s">
        <v>23</v>
      </c>
      <c r="Y1" s="1" t="s">
        <v>154</v>
      </c>
      <c r="Z1" t="s">
        <v>157</v>
      </c>
      <c r="AA1" t="s">
        <v>159</v>
      </c>
      <c r="AB1" t="s">
        <v>161</v>
      </c>
      <c r="AC1" s="1" t="s">
        <v>163</v>
      </c>
      <c r="AD1" s="1" t="s">
        <v>167</v>
      </c>
      <c r="AE1" t="s">
        <v>183</v>
      </c>
    </row>
    <row r="2" spans="1:31" x14ac:dyDescent="0.3">
      <c r="A2" t="s">
        <v>24</v>
      </c>
      <c r="B2" t="s">
        <v>25</v>
      </c>
      <c r="C2" s="1">
        <v>69.808005542115765</v>
      </c>
      <c r="D2" s="3">
        <v>55</v>
      </c>
      <c r="E2" s="3">
        <v>802</v>
      </c>
      <c r="F2" s="5">
        <v>8661.9967923923832</v>
      </c>
      <c r="G2" t="s">
        <v>26</v>
      </c>
      <c r="H2" s="3">
        <v>58</v>
      </c>
      <c r="I2">
        <v>7</v>
      </c>
      <c r="J2" s="3">
        <v>96</v>
      </c>
      <c r="K2">
        <v>4</v>
      </c>
      <c r="L2" t="s">
        <v>27</v>
      </c>
      <c r="M2" s="1">
        <v>2.9565721394308069</v>
      </c>
      <c r="N2" t="s">
        <v>28</v>
      </c>
      <c r="O2" t="s">
        <v>29</v>
      </c>
      <c r="P2" s="3">
        <v>29</v>
      </c>
      <c r="Q2" s="3">
        <v>215</v>
      </c>
      <c r="R2" s="3">
        <v>29</v>
      </c>
      <c r="S2" s="1">
        <v>46.279879240508322</v>
      </c>
      <c r="T2" t="s">
        <v>30</v>
      </c>
      <c r="U2" s="2">
        <v>0.22641036084992516</v>
      </c>
      <c r="V2" t="s">
        <v>31</v>
      </c>
      <c r="W2" t="s">
        <v>32</v>
      </c>
      <c r="X2" s="1">
        <v>187.75207545920392</v>
      </c>
      <c r="Y2" s="1">
        <f>supply_chain_data4[[#This Row],[Revenue_generated ]]/supply_chain_data4[[#This Row],[Number_of_products sold]]</f>
        <v>10.800494753606463</v>
      </c>
      <c r="Z2" t="str">
        <f>IF(supply_chain_data4[[#This Row],[Stock_levels]]&lt;30,"Low Stock",
IF(supply_chain_data4[[#This Row],[Stock_levels]]&lt;=70,"Medium Stock","High Stock"))</f>
        <v>Medium Stock</v>
      </c>
      <c r="AA2" t="str">
        <f>IF(supply_chain_data4[[#This Row],[Lead_time]]&lt;=10,"Short",
IF(supply_chain_data4[[#This Row],[Lead_time]]&lt;=20,"Medium","Long"))</f>
        <v>Long</v>
      </c>
      <c r="AB2" t="str">
        <f>IF(supply_chain_data4[[#This Row],[Defect_rates]]&lt;2,"Low Defect",
IF(supply_chain_data4[[#This Row],[Defect_rates]]&lt;=4,"Medium Defect","High Defect"))</f>
        <v>Low Defect</v>
      </c>
      <c r="AC2" s="1">
        <f>supply_chain_data4[[#This Row],[Production_volumes]]*supply_chain_data4[[#This Row],[Manufacturing_costs]]</f>
        <v>9950.1740367092898</v>
      </c>
      <c r="AD2" s="1">
        <f>supply_chain_data4[[#This Row],[Order_quantities]]*supply_chain_data4[[#This Row],[Shipping_costs]]</f>
        <v>283.83092538535743</v>
      </c>
      <c r="AE2" s="1">
        <f>supply_chain_data4[[#This Row],[Revenue_generated ]]-AC2-AD2</f>
        <v>-1572.008169702264</v>
      </c>
    </row>
    <row r="3" spans="1:31" x14ac:dyDescent="0.3">
      <c r="A3" t="s">
        <v>33</v>
      </c>
      <c r="B3" t="s">
        <v>34</v>
      </c>
      <c r="C3" s="1">
        <v>14.843523275084339</v>
      </c>
      <c r="D3" s="3">
        <v>95</v>
      </c>
      <c r="E3" s="3">
        <v>736</v>
      </c>
      <c r="F3" s="5">
        <v>7460.9000654458487</v>
      </c>
      <c r="G3" t="s">
        <v>35</v>
      </c>
      <c r="H3" s="3">
        <v>53</v>
      </c>
      <c r="I3">
        <v>30</v>
      </c>
      <c r="J3" s="3">
        <v>37</v>
      </c>
      <c r="K3">
        <v>2</v>
      </c>
      <c r="L3" t="s">
        <v>36</v>
      </c>
      <c r="M3" s="1">
        <v>9.7165747714313095</v>
      </c>
      <c r="N3" t="s">
        <v>28</v>
      </c>
      <c r="O3" t="s">
        <v>29</v>
      </c>
      <c r="P3" s="3">
        <v>23</v>
      </c>
      <c r="Q3" s="3">
        <v>517</v>
      </c>
      <c r="R3" s="3">
        <v>30</v>
      </c>
      <c r="S3" s="1">
        <v>33.616768953730002</v>
      </c>
      <c r="T3" t="s">
        <v>30</v>
      </c>
      <c r="U3" s="2">
        <v>4.8540680263887062</v>
      </c>
      <c r="V3" t="s">
        <v>31</v>
      </c>
      <c r="W3" t="s">
        <v>32</v>
      </c>
      <c r="X3" s="1">
        <v>503.06557914966919</v>
      </c>
      <c r="Y3" s="1">
        <f>supply_chain_data4[[#This Row],[Revenue_generated ]]/supply_chain_data4[[#This Row],[Number_of_products sold]]</f>
        <v>10.137092480225338</v>
      </c>
      <c r="Z3" t="str">
        <f>IF(supply_chain_data4[[#This Row],[Stock_levels]]&lt;30,"Low Stock",
IF(supply_chain_data4[[#This Row],[Stock_levels]]&lt;=70,"Medium Stock","High Stock"))</f>
        <v>Medium Stock</v>
      </c>
      <c r="AA3" t="str">
        <f>IF(supply_chain_data4[[#This Row],[Lead_time]]&lt;=10,"Short",
IF(supply_chain_data4[[#This Row],[Lead_time]]&lt;=20,"Medium","Long"))</f>
        <v>Long</v>
      </c>
      <c r="AB3" t="str">
        <f>IF(supply_chain_data4[[#This Row],[Defect_rates]]&lt;2,"Low Defect",
IF(supply_chain_data4[[#This Row],[Defect_rates]]&lt;=4,"Medium Defect","High Defect"))</f>
        <v>High Defect</v>
      </c>
      <c r="AC3" s="1">
        <f>supply_chain_data4[[#This Row],[Production_volumes]]*supply_chain_data4[[#This Row],[Manufacturing_costs]]</f>
        <v>17379.869549078412</v>
      </c>
      <c r="AD3" s="1">
        <f>supply_chain_data4[[#This Row],[Order_quantities]]*supply_chain_data4[[#This Row],[Shipping_costs]]</f>
        <v>359.51326654295843</v>
      </c>
      <c r="AE3" s="1">
        <f>supply_chain_data4[[#This Row],[Revenue_generated ]]-AC3-AD3</f>
        <v>-10278.482750175523</v>
      </c>
    </row>
    <row r="4" spans="1:31" x14ac:dyDescent="0.3">
      <c r="A4" t="s">
        <v>24</v>
      </c>
      <c r="B4" t="s">
        <v>37</v>
      </c>
      <c r="C4" s="1">
        <v>11.319683293090566</v>
      </c>
      <c r="D4" s="3">
        <v>34</v>
      </c>
      <c r="E4" s="3">
        <v>8</v>
      </c>
      <c r="F4" s="5">
        <v>9577.7496258687297</v>
      </c>
      <c r="G4" t="s">
        <v>38</v>
      </c>
      <c r="H4" s="3">
        <v>1</v>
      </c>
      <c r="I4">
        <v>10</v>
      </c>
      <c r="J4" s="3">
        <v>88</v>
      </c>
      <c r="K4">
        <v>2</v>
      </c>
      <c r="L4" t="s">
        <v>27</v>
      </c>
      <c r="M4" s="1">
        <v>8.0544792617321548</v>
      </c>
      <c r="N4" t="s">
        <v>39</v>
      </c>
      <c r="O4" t="s">
        <v>29</v>
      </c>
      <c r="P4" s="3">
        <v>12</v>
      </c>
      <c r="Q4" s="3">
        <v>971</v>
      </c>
      <c r="R4" s="3">
        <v>27</v>
      </c>
      <c r="S4" s="1">
        <v>30.688019348284204</v>
      </c>
      <c r="T4" t="s">
        <v>30</v>
      </c>
      <c r="U4" s="2">
        <v>4.580592619199229</v>
      </c>
      <c r="V4" t="s">
        <v>40</v>
      </c>
      <c r="W4" t="s">
        <v>41</v>
      </c>
      <c r="X4" s="1">
        <v>141.92028177151906</v>
      </c>
      <c r="Y4" s="1">
        <f>supply_chain_data4[[#This Row],[Revenue_generated ]]/supply_chain_data4[[#This Row],[Number_of_products sold]]</f>
        <v>1197.2187032335912</v>
      </c>
      <c r="Z4" t="str">
        <f>IF(supply_chain_data4[[#This Row],[Stock_levels]]&lt;30,"Low Stock",
IF(supply_chain_data4[[#This Row],[Stock_levels]]&lt;=70,"Medium Stock","High Stock"))</f>
        <v>Low Stock</v>
      </c>
      <c r="AA4" t="str">
        <f>IF(supply_chain_data4[[#This Row],[Lead_time]]&lt;=10,"Short",
IF(supply_chain_data4[[#This Row],[Lead_time]]&lt;=20,"Medium","Long"))</f>
        <v>Medium</v>
      </c>
      <c r="AB4" t="str">
        <f>IF(supply_chain_data4[[#This Row],[Defect_rates]]&lt;2,"Low Defect",
IF(supply_chain_data4[[#This Row],[Defect_rates]]&lt;=4,"Medium Defect","High Defect"))</f>
        <v>High Defect</v>
      </c>
      <c r="AC4" s="1">
        <f>supply_chain_data4[[#This Row],[Production_volumes]]*supply_chain_data4[[#This Row],[Manufacturing_costs]]</f>
        <v>29798.066787183961</v>
      </c>
      <c r="AD4" s="1">
        <f>supply_chain_data4[[#This Row],[Order_quantities]]*supply_chain_data4[[#This Row],[Shipping_costs]]</f>
        <v>708.79417503242962</v>
      </c>
      <c r="AE4" s="1">
        <f>supply_chain_data4[[#This Row],[Revenue_generated ]]-AC4-AD4</f>
        <v>-20929.111336347658</v>
      </c>
    </row>
    <row r="5" spans="1:31" x14ac:dyDescent="0.3">
      <c r="A5" t="s">
        <v>33</v>
      </c>
      <c r="B5" t="s">
        <v>42</v>
      </c>
      <c r="C5" s="1">
        <v>61.163343016437736</v>
      </c>
      <c r="D5" s="3">
        <v>68</v>
      </c>
      <c r="E5" s="3">
        <v>83</v>
      </c>
      <c r="F5" s="5">
        <v>7766.8364256852328</v>
      </c>
      <c r="G5" t="s">
        <v>26</v>
      </c>
      <c r="H5" s="3">
        <v>23</v>
      </c>
      <c r="I5">
        <v>13</v>
      </c>
      <c r="J5" s="3">
        <v>59</v>
      </c>
      <c r="K5">
        <v>6</v>
      </c>
      <c r="L5" t="s">
        <v>43</v>
      </c>
      <c r="M5" s="1">
        <v>1.7295685635434288</v>
      </c>
      <c r="N5" t="s">
        <v>44</v>
      </c>
      <c r="O5" t="s">
        <v>45</v>
      </c>
      <c r="P5" s="3">
        <v>24</v>
      </c>
      <c r="Q5" s="3">
        <v>937</v>
      </c>
      <c r="R5" s="3">
        <v>18</v>
      </c>
      <c r="S5" s="1">
        <v>35.624741397125028</v>
      </c>
      <c r="T5" t="s">
        <v>46</v>
      </c>
      <c r="U5" s="2">
        <v>4.7466486206477496</v>
      </c>
      <c r="V5" t="s">
        <v>47</v>
      </c>
      <c r="W5" t="s">
        <v>48</v>
      </c>
      <c r="X5" s="1">
        <v>254.77615921928663</v>
      </c>
      <c r="Y5" s="1">
        <f>supply_chain_data4[[#This Row],[Revenue_generated ]]/supply_chain_data4[[#This Row],[Number_of_products sold]]</f>
        <v>93.576342478135331</v>
      </c>
      <c r="Z5" t="str">
        <f>IF(supply_chain_data4[[#This Row],[Stock_levels]]&lt;30,"Low Stock",
IF(supply_chain_data4[[#This Row],[Stock_levels]]&lt;=70,"Medium Stock","High Stock"))</f>
        <v>Low Stock</v>
      </c>
      <c r="AA5" t="str">
        <f>IF(supply_chain_data4[[#This Row],[Lead_time]]&lt;=10,"Short",
IF(supply_chain_data4[[#This Row],[Lead_time]]&lt;=20,"Medium","Long"))</f>
        <v>Long</v>
      </c>
      <c r="AB5" t="str">
        <f>IF(supply_chain_data4[[#This Row],[Defect_rates]]&lt;2,"Low Defect",
IF(supply_chain_data4[[#This Row],[Defect_rates]]&lt;=4,"Medium Defect","High Defect"))</f>
        <v>High Defect</v>
      </c>
      <c r="AC5" s="1">
        <f>supply_chain_data4[[#This Row],[Production_volumes]]*supply_chain_data4[[#This Row],[Manufacturing_costs]]</f>
        <v>33380.382689106154</v>
      </c>
      <c r="AD5" s="1">
        <f>supply_chain_data4[[#This Row],[Order_quantities]]*supply_chain_data4[[#This Row],[Shipping_costs]]</f>
        <v>102.0445452490623</v>
      </c>
      <c r="AE5" s="1">
        <f>supply_chain_data4[[#This Row],[Revenue_generated ]]-AC5-AD5</f>
        <v>-25715.590808669986</v>
      </c>
    </row>
    <row r="6" spans="1:31" x14ac:dyDescent="0.3">
      <c r="A6" t="s">
        <v>33</v>
      </c>
      <c r="B6" t="s">
        <v>49</v>
      </c>
      <c r="C6" s="1">
        <v>4.8054960363458932</v>
      </c>
      <c r="D6" s="3">
        <v>26</v>
      </c>
      <c r="E6" s="3">
        <v>871</v>
      </c>
      <c r="F6" s="5">
        <v>2686.5051515674468</v>
      </c>
      <c r="G6" t="s">
        <v>26</v>
      </c>
      <c r="H6" s="3">
        <v>5</v>
      </c>
      <c r="I6">
        <v>3</v>
      </c>
      <c r="J6" s="3">
        <v>56</v>
      </c>
      <c r="K6">
        <v>8</v>
      </c>
      <c r="L6" t="s">
        <v>36</v>
      </c>
      <c r="M6" s="1">
        <v>3.8905479158706715</v>
      </c>
      <c r="N6" t="s">
        <v>39</v>
      </c>
      <c r="O6" t="s">
        <v>50</v>
      </c>
      <c r="P6" s="3">
        <v>5</v>
      </c>
      <c r="Q6" s="3">
        <v>414</v>
      </c>
      <c r="R6" s="3">
        <v>3</v>
      </c>
      <c r="S6" s="1">
        <v>92.065160598712851</v>
      </c>
      <c r="T6" t="s">
        <v>46</v>
      </c>
      <c r="U6" s="2">
        <v>3.1455795228330019</v>
      </c>
      <c r="V6" t="s">
        <v>40</v>
      </c>
      <c r="W6" t="s">
        <v>48</v>
      </c>
      <c r="X6" s="1">
        <v>923.44063171192215</v>
      </c>
      <c r="Y6" s="1">
        <f>supply_chain_data4[[#This Row],[Revenue_generated ]]/supply_chain_data4[[#This Row],[Number_of_products sold]]</f>
        <v>3.0843916780338079</v>
      </c>
      <c r="Z6" t="str">
        <f>IF(supply_chain_data4[[#This Row],[Stock_levels]]&lt;30,"Low Stock",
IF(supply_chain_data4[[#This Row],[Stock_levels]]&lt;=70,"Medium Stock","High Stock"))</f>
        <v>Low Stock</v>
      </c>
      <c r="AA6" t="str">
        <f>IF(supply_chain_data4[[#This Row],[Lead_time]]&lt;=10,"Short",
IF(supply_chain_data4[[#This Row],[Lead_time]]&lt;=20,"Medium","Long"))</f>
        <v>Short</v>
      </c>
      <c r="AB6" t="str">
        <f>IF(supply_chain_data4[[#This Row],[Defect_rates]]&lt;2,"Low Defect",
IF(supply_chain_data4[[#This Row],[Defect_rates]]&lt;=4,"Medium Defect","High Defect"))</f>
        <v>Medium Defect</v>
      </c>
      <c r="AC6" s="1">
        <f>supply_chain_data4[[#This Row],[Production_volumes]]*supply_chain_data4[[#This Row],[Manufacturing_costs]]</f>
        <v>38114.976487867119</v>
      </c>
      <c r="AD6" s="1">
        <f>supply_chain_data4[[#This Row],[Order_quantities]]*supply_chain_data4[[#This Row],[Shipping_costs]]</f>
        <v>217.87068328875762</v>
      </c>
      <c r="AE6" s="1">
        <f>supply_chain_data4[[#This Row],[Revenue_generated ]]-AC6-AD6</f>
        <v>-35646.342019588425</v>
      </c>
    </row>
    <row r="7" spans="1:31" x14ac:dyDescent="0.3">
      <c r="A7" t="s">
        <v>24</v>
      </c>
      <c r="B7" t="s">
        <v>51</v>
      </c>
      <c r="C7" s="1">
        <v>1.6999760138659377</v>
      </c>
      <c r="D7" s="3">
        <v>87</v>
      </c>
      <c r="E7" s="3">
        <v>147</v>
      </c>
      <c r="F7" s="5">
        <v>2828.3487459757589</v>
      </c>
      <c r="G7" t="s">
        <v>26</v>
      </c>
      <c r="H7" s="3">
        <v>90</v>
      </c>
      <c r="I7">
        <v>27</v>
      </c>
      <c r="J7" s="3">
        <v>66</v>
      </c>
      <c r="K7">
        <v>3</v>
      </c>
      <c r="L7" t="s">
        <v>27</v>
      </c>
      <c r="M7" s="1">
        <v>4.4440988643822932</v>
      </c>
      <c r="N7" t="s">
        <v>52</v>
      </c>
      <c r="O7" t="s">
        <v>53</v>
      </c>
      <c r="P7" s="3">
        <v>10</v>
      </c>
      <c r="Q7" s="3">
        <v>104</v>
      </c>
      <c r="R7" s="3">
        <v>17</v>
      </c>
      <c r="S7" s="1">
        <v>56.766475557431797</v>
      </c>
      <c r="T7" t="s">
        <v>46</v>
      </c>
      <c r="U7" s="2">
        <v>2.7791935115711617</v>
      </c>
      <c r="V7" t="s">
        <v>31</v>
      </c>
      <c r="W7" t="s">
        <v>48</v>
      </c>
      <c r="X7" s="1">
        <v>235.46123673553751</v>
      </c>
      <c r="Y7" s="1">
        <f>supply_chain_data4[[#This Row],[Revenue_generated ]]/supply_chain_data4[[#This Row],[Number_of_products sold]]</f>
        <v>19.240467659699039</v>
      </c>
      <c r="Z7" t="str">
        <f>IF(supply_chain_data4[[#This Row],[Stock_levels]]&lt;30,"Low Stock",
IF(supply_chain_data4[[#This Row],[Stock_levels]]&lt;=70,"Medium Stock","High Stock"))</f>
        <v>High Stock</v>
      </c>
      <c r="AA7" t="str">
        <f>IF(supply_chain_data4[[#This Row],[Lead_time]]&lt;=10,"Short",
IF(supply_chain_data4[[#This Row],[Lead_time]]&lt;=20,"Medium","Long"))</f>
        <v>Short</v>
      </c>
      <c r="AB7" t="str">
        <f>IF(supply_chain_data4[[#This Row],[Defect_rates]]&lt;2,"Low Defect",
IF(supply_chain_data4[[#This Row],[Defect_rates]]&lt;=4,"Medium Defect","High Defect"))</f>
        <v>Medium Defect</v>
      </c>
      <c r="AC7" s="1">
        <f>supply_chain_data4[[#This Row],[Production_volumes]]*supply_chain_data4[[#This Row],[Manufacturing_costs]]</f>
        <v>5903.7134579729072</v>
      </c>
      <c r="AD7" s="1">
        <f>supply_chain_data4[[#This Row],[Order_quantities]]*supply_chain_data4[[#This Row],[Shipping_costs]]</f>
        <v>293.31052504923133</v>
      </c>
      <c r="AE7" s="1">
        <f>supply_chain_data4[[#This Row],[Revenue_generated ]]-AC7-AD7</f>
        <v>-3368.6752370463796</v>
      </c>
    </row>
    <row r="8" spans="1:31" x14ac:dyDescent="0.3">
      <c r="A8" t="s">
        <v>33</v>
      </c>
      <c r="B8" t="s">
        <v>54</v>
      </c>
      <c r="C8" s="1">
        <v>4.0783328631079447</v>
      </c>
      <c r="D8" s="3">
        <v>48</v>
      </c>
      <c r="E8" s="3">
        <v>65</v>
      </c>
      <c r="F8" s="5">
        <v>7823.4765595317367</v>
      </c>
      <c r="G8" t="s">
        <v>55</v>
      </c>
      <c r="H8" s="3">
        <v>11</v>
      </c>
      <c r="I8">
        <v>15</v>
      </c>
      <c r="J8" s="3">
        <v>58</v>
      </c>
      <c r="K8">
        <v>8</v>
      </c>
      <c r="L8" t="s">
        <v>43</v>
      </c>
      <c r="M8" s="1">
        <v>3.8807633029520034</v>
      </c>
      <c r="N8" t="s">
        <v>28</v>
      </c>
      <c r="O8" t="s">
        <v>45</v>
      </c>
      <c r="P8" s="3">
        <v>14</v>
      </c>
      <c r="Q8" s="3">
        <v>314</v>
      </c>
      <c r="R8" s="3">
        <v>24</v>
      </c>
      <c r="S8" s="1">
        <v>1.0850685695870688</v>
      </c>
      <c r="T8" t="s">
        <v>30</v>
      </c>
      <c r="U8" s="2">
        <v>1.0009106193041357</v>
      </c>
      <c r="V8" t="s">
        <v>56</v>
      </c>
      <c r="W8" t="s">
        <v>48</v>
      </c>
      <c r="X8" s="1">
        <v>134.36909686103172</v>
      </c>
      <c r="Y8" s="1">
        <f>supply_chain_data4[[#This Row],[Revenue_generated ]]/supply_chain_data4[[#This Row],[Number_of_products sold]]</f>
        <v>120.3611778389498</v>
      </c>
      <c r="Z8" t="str">
        <f>IF(supply_chain_data4[[#This Row],[Stock_levels]]&lt;30,"Low Stock",
IF(supply_chain_data4[[#This Row],[Stock_levels]]&lt;=70,"Medium Stock","High Stock"))</f>
        <v>Low Stock</v>
      </c>
      <c r="AA8" t="str">
        <f>IF(supply_chain_data4[[#This Row],[Lead_time]]&lt;=10,"Short",
IF(supply_chain_data4[[#This Row],[Lead_time]]&lt;=20,"Medium","Long"))</f>
        <v>Medium</v>
      </c>
      <c r="AB8" t="str">
        <f>IF(supply_chain_data4[[#This Row],[Defect_rates]]&lt;2,"Low Defect",
IF(supply_chain_data4[[#This Row],[Defect_rates]]&lt;=4,"Medium Defect","High Defect"))</f>
        <v>Low Defect</v>
      </c>
      <c r="AC8" s="1">
        <f>supply_chain_data4[[#This Row],[Production_volumes]]*supply_chain_data4[[#This Row],[Manufacturing_costs]]</f>
        <v>340.71153085033961</v>
      </c>
      <c r="AD8" s="1">
        <f>supply_chain_data4[[#This Row],[Order_quantities]]*supply_chain_data4[[#This Row],[Shipping_costs]]</f>
        <v>225.08427157121619</v>
      </c>
      <c r="AE8" s="1">
        <f>supply_chain_data4[[#This Row],[Revenue_generated ]]-AC8-AD8</f>
        <v>7257.6807571101808</v>
      </c>
    </row>
    <row r="9" spans="1:31" x14ac:dyDescent="0.3">
      <c r="A9" t="s">
        <v>57</v>
      </c>
      <c r="B9" t="s">
        <v>58</v>
      </c>
      <c r="C9" s="1">
        <v>42.958384382460068</v>
      </c>
      <c r="D9" s="3">
        <v>59</v>
      </c>
      <c r="E9" s="3">
        <v>426</v>
      </c>
      <c r="F9" s="5">
        <v>8496.1038130898378</v>
      </c>
      <c r="G9" t="s">
        <v>35</v>
      </c>
      <c r="H9" s="3">
        <v>93</v>
      </c>
      <c r="I9">
        <v>17</v>
      </c>
      <c r="J9" s="3">
        <v>11</v>
      </c>
      <c r="K9">
        <v>1</v>
      </c>
      <c r="L9" t="s">
        <v>27</v>
      </c>
      <c r="M9" s="1">
        <v>2.3483387844177805</v>
      </c>
      <c r="N9" t="s">
        <v>52</v>
      </c>
      <c r="O9" t="s">
        <v>53</v>
      </c>
      <c r="P9" s="3">
        <v>22</v>
      </c>
      <c r="Q9" s="3">
        <v>564</v>
      </c>
      <c r="R9" s="3">
        <v>1</v>
      </c>
      <c r="S9" s="1">
        <v>99.466108603599125</v>
      </c>
      <c r="T9" t="s">
        <v>46</v>
      </c>
      <c r="U9" s="2">
        <v>0.39817718685065062</v>
      </c>
      <c r="V9" t="s">
        <v>31</v>
      </c>
      <c r="W9" t="s">
        <v>41</v>
      </c>
      <c r="X9" s="1">
        <v>802.05631181755859</v>
      </c>
      <c r="Y9" s="1">
        <f>supply_chain_data4[[#This Row],[Revenue_generated ]]/supply_chain_data4[[#This Row],[Number_of_products sold]]</f>
        <v>19.943905664530135</v>
      </c>
      <c r="Z9" t="str">
        <f>IF(supply_chain_data4[[#This Row],[Stock_levels]]&lt;30,"Low Stock",
IF(supply_chain_data4[[#This Row],[Stock_levels]]&lt;=70,"Medium Stock","High Stock"))</f>
        <v>High Stock</v>
      </c>
      <c r="AA9" t="str">
        <f>IF(supply_chain_data4[[#This Row],[Lead_time]]&lt;=10,"Short",
IF(supply_chain_data4[[#This Row],[Lead_time]]&lt;=20,"Medium","Long"))</f>
        <v>Long</v>
      </c>
      <c r="AB9" t="str">
        <f>IF(supply_chain_data4[[#This Row],[Defect_rates]]&lt;2,"Low Defect",
IF(supply_chain_data4[[#This Row],[Defect_rates]]&lt;=4,"Medium Defect","High Defect"))</f>
        <v>Low Defect</v>
      </c>
      <c r="AC9" s="1">
        <f>supply_chain_data4[[#This Row],[Production_volumes]]*supply_chain_data4[[#This Row],[Manufacturing_costs]]</f>
        <v>56098.885252429907</v>
      </c>
      <c r="AD9" s="1">
        <f>supply_chain_data4[[#This Row],[Order_quantities]]*supply_chain_data4[[#This Row],[Shipping_costs]]</f>
        <v>25.831726628595586</v>
      </c>
      <c r="AE9" s="1">
        <f>supply_chain_data4[[#This Row],[Revenue_generated ]]-AC9-AD9</f>
        <v>-47628.613165968665</v>
      </c>
    </row>
    <row r="10" spans="1:31" x14ac:dyDescent="0.3">
      <c r="A10" t="s">
        <v>57</v>
      </c>
      <c r="B10" t="s">
        <v>59</v>
      </c>
      <c r="C10" s="1">
        <v>68.717596748527328</v>
      </c>
      <c r="D10" s="3">
        <v>78</v>
      </c>
      <c r="E10" s="3">
        <v>150</v>
      </c>
      <c r="F10" s="5">
        <v>7517.363210631127</v>
      </c>
      <c r="G10" t="s">
        <v>35</v>
      </c>
      <c r="H10" s="3">
        <v>5</v>
      </c>
      <c r="I10">
        <v>10</v>
      </c>
      <c r="J10" s="3">
        <v>15</v>
      </c>
      <c r="K10">
        <v>7</v>
      </c>
      <c r="L10" t="s">
        <v>43</v>
      </c>
      <c r="M10" s="1">
        <v>3.4047338570830266</v>
      </c>
      <c r="N10" t="s">
        <v>52</v>
      </c>
      <c r="O10" t="s">
        <v>29</v>
      </c>
      <c r="P10" s="3">
        <v>13</v>
      </c>
      <c r="Q10" s="3">
        <v>769</v>
      </c>
      <c r="R10" s="3">
        <v>8</v>
      </c>
      <c r="S10" s="1">
        <v>11.423027139565695</v>
      </c>
      <c r="T10" t="s">
        <v>30</v>
      </c>
      <c r="U10" s="2">
        <v>2.7098626911099615</v>
      </c>
      <c r="V10" t="s">
        <v>56</v>
      </c>
      <c r="W10" t="s">
        <v>32</v>
      </c>
      <c r="X10" s="1">
        <v>505.55713422546415</v>
      </c>
      <c r="Y10" s="1">
        <f>supply_chain_data4[[#This Row],[Revenue_generated ]]/supply_chain_data4[[#This Row],[Number_of_products sold]]</f>
        <v>50.115754737540847</v>
      </c>
      <c r="Z10" t="str">
        <f>IF(supply_chain_data4[[#This Row],[Stock_levels]]&lt;30,"Low Stock",
IF(supply_chain_data4[[#This Row],[Stock_levels]]&lt;=70,"Medium Stock","High Stock"))</f>
        <v>Low Stock</v>
      </c>
      <c r="AA10" t="str">
        <f>IF(supply_chain_data4[[#This Row],[Lead_time]]&lt;=10,"Short",
IF(supply_chain_data4[[#This Row],[Lead_time]]&lt;=20,"Medium","Long"))</f>
        <v>Medium</v>
      </c>
      <c r="AB10" t="str">
        <f>IF(supply_chain_data4[[#This Row],[Defect_rates]]&lt;2,"Low Defect",
IF(supply_chain_data4[[#This Row],[Defect_rates]]&lt;=4,"Medium Defect","High Defect"))</f>
        <v>Medium Defect</v>
      </c>
      <c r="AC10" s="1">
        <f>supply_chain_data4[[#This Row],[Production_volumes]]*supply_chain_data4[[#This Row],[Manufacturing_costs]]</f>
        <v>8784.3078703260198</v>
      </c>
      <c r="AD10" s="1">
        <f>supply_chain_data4[[#This Row],[Order_quantities]]*supply_chain_data4[[#This Row],[Shipping_costs]]</f>
        <v>51.071007856245402</v>
      </c>
      <c r="AE10" s="1">
        <f>supply_chain_data4[[#This Row],[Revenue_generated ]]-AC10-AD10</f>
        <v>-1318.0156675511382</v>
      </c>
    </row>
    <row r="11" spans="1:31" x14ac:dyDescent="0.3">
      <c r="A11" t="s">
        <v>33</v>
      </c>
      <c r="B11" t="s">
        <v>60</v>
      </c>
      <c r="C11" s="1">
        <v>64.015732941278543</v>
      </c>
      <c r="D11" s="3">
        <v>35</v>
      </c>
      <c r="E11" s="3">
        <v>980</v>
      </c>
      <c r="F11" s="5">
        <v>4971.145987585558</v>
      </c>
      <c r="G11" t="s">
        <v>38</v>
      </c>
      <c r="H11" s="3">
        <v>14</v>
      </c>
      <c r="I11">
        <v>27</v>
      </c>
      <c r="J11" s="3">
        <v>83</v>
      </c>
      <c r="K11">
        <v>1</v>
      </c>
      <c r="L11" t="s">
        <v>36</v>
      </c>
      <c r="M11" s="1">
        <v>7.1666452910482157</v>
      </c>
      <c r="N11" t="s">
        <v>61</v>
      </c>
      <c r="O11" t="s">
        <v>62</v>
      </c>
      <c r="P11" s="3">
        <v>29</v>
      </c>
      <c r="Q11" s="3">
        <v>963</v>
      </c>
      <c r="R11" s="3">
        <v>23</v>
      </c>
      <c r="S11" s="1">
        <v>47.95760163495158</v>
      </c>
      <c r="T11" t="s">
        <v>30</v>
      </c>
      <c r="U11" s="2">
        <v>3.8446144787675851</v>
      </c>
      <c r="V11" t="s">
        <v>47</v>
      </c>
      <c r="W11" t="s">
        <v>32</v>
      </c>
      <c r="X11" s="1">
        <v>995.92946149864167</v>
      </c>
      <c r="Y11" s="1">
        <f>supply_chain_data4[[#This Row],[Revenue_generated ]]/supply_chain_data4[[#This Row],[Number_of_products sold]]</f>
        <v>5.0725979465158755</v>
      </c>
      <c r="Z11" t="str">
        <f>IF(supply_chain_data4[[#This Row],[Stock_levels]]&lt;30,"Low Stock",
IF(supply_chain_data4[[#This Row],[Stock_levels]]&lt;=70,"Medium Stock","High Stock"))</f>
        <v>Low Stock</v>
      </c>
      <c r="AA11" t="str">
        <f>IF(supply_chain_data4[[#This Row],[Lead_time]]&lt;=10,"Short",
IF(supply_chain_data4[[#This Row],[Lead_time]]&lt;=20,"Medium","Long"))</f>
        <v>Long</v>
      </c>
      <c r="AB11" t="str">
        <f>IF(supply_chain_data4[[#This Row],[Defect_rates]]&lt;2,"Low Defect",
IF(supply_chain_data4[[#This Row],[Defect_rates]]&lt;=4,"Medium Defect","High Defect"))</f>
        <v>Medium Defect</v>
      </c>
      <c r="AC11" s="1">
        <f>supply_chain_data4[[#This Row],[Production_volumes]]*supply_chain_data4[[#This Row],[Manufacturing_costs]]</f>
        <v>46183.170374458372</v>
      </c>
      <c r="AD11" s="1">
        <f>supply_chain_data4[[#This Row],[Order_quantities]]*supply_chain_data4[[#This Row],[Shipping_costs]]</f>
        <v>594.83155915700195</v>
      </c>
      <c r="AE11" s="1">
        <f>supply_chain_data4[[#This Row],[Revenue_generated ]]-AC11-AD11</f>
        <v>-41806.855946029813</v>
      </c>
    </row>
    <row r="12" spans="1:31" x14ac:dyDescent="0.3">
      <c r="A12" t="s">
        <v>33</v>
      </c>
      <c r="B12" t="s">
        <v>63</v>
      </c>
      <c r="C12" s="1">
        <v>15.707795681912138</v>
      </c>
      <c r="D12" s="3">
        <v>11</v>
      </c>
      <c r="E12" s="3">
        <v>996</v>
      </c>
      <c r="F12" s="5">
        <v>2330.9658020919492</v>
      </c>
      <c r="G12" t="s">
        <v>26</v>
      </c>
      <c r="H12" s="3">
        <v>51</v>
      </c>
      <c r="I12">
        <v>13</v>
      </c>
      <c r="J12" s="3">
        <v>80</v>
      </c>
      <c r="K12">
        <v>2</v>
      </c>
      <c r="L12" t="s">
        <v>43</v>
      </c>
      <c r="M12" s="1">
        <v>8.6732112112786126</v>
      </c>
      <c r="N12" t="s">
        <v>44</v>
      </c>
      <c r="O12" t="s">
        <v>45</v>
      </c>
      <c r="P12" s="3">
        <v>18</v>
      </c>
      <c r="Q12" s="3">
        <v>830</v>
      </c>
      <c r="R12" s="3">
        <v>5</v>
      </c>
      <c r="S12" s="1">
        <v>96.52735278531091</v>
      </c>
      <c r="T12" t="s">
        <v>64</v>
      </c>
      <c r="U12" s="2">
        <v>1.7273139283559424</v>
      </c>
      <c r="V12" t="s">
        <v>31</v>
      </c>
      <c r="W12" t="s">
        <v>32</v>
      </c>
      <c r="X12" s="1">
        <v>806.10317770292295</v>
      </c>
      <c r="Y12" s="1">
        <f>supply_chain_data4[[#This Row],[Revenue_generated ]]/supply_chain_data4[[#This Row],[Number_of_products sold]]</f>
        <v>2.3403271105340857</v>
      </c>
      <c r="Z12" t="str">
        <f>IF(supply_chain_data4[[#This Row],[Stock_levels]]&lt;30,"Low Stock",
IF(supply_chain_data4[[#This Row],[Stock_levels]]&lt;=70,"Medium Stock","High Stock"))</f>
        <v>Medium Stock</v>
      </c>
      <c r="AA12" t="str">
        <f>IF(supply_chain_data4[[#This Row],[Lead_time]]&lt;=10,"Short",
IF(supply_chain_data4[[#This Row],[Lead_time]]&lt;=20,"Medium","Long"))</f>
        <v>Medium</v>
      </c>
      <c r="AB12" t="str">
        <f>IF(supply_chain_data4[[#This Row],[Defect_rates]]&lt;2,"Low Defect",
IF(supply_chain_data4[[#This Row],[Defect_rates]]&lt;=4,"Medium Defect","High Defect"))</f>
        <v>Low Defect</v>
      </c>
      <c r="AC12" s="1">
        <f>supply_chain_data4[[#This Row],[Production_volumes]]*supply_chain_data4[[#This Row],[Manufacturing_costs]]</f>
        <v>80117.702811808049</v>
      </c>
      <c r="AD12" s="1">
        <f>supply_chain_data4[[#This Row],[Order_quantities]]*supply_chain_data4[[#This Row],[Shipping_costs]]</f>
        <v>693.85689690228901</v>
      </c>
      <c r="AE12" s="1">
        <f>supply_chain_data4[[#This Row],[Revenue_generated ]]-AC12-AD12</f>
        <v>-78480.593906618393</v>
      </c>
    </row>
    <row r="13" spans="1:31" x14ac:dyDescent="0.3">
      <c r="A13" t="s">
        <v>33</v>
      </c>
      <c r="B13" t="s">
        <v>65</v>
      </c>
      <c r="C13" s="1">
        <v>90.635459982288666</v>
      </c>
      <c r="D13" s="3">
        <v>95</v>
      </c>
      <c r="E13" s="3">
        <v>960</v>
      </c>
      <c r="F13" s="5">
        <v>6099.944115581452</v>
      </c>
      <c r="G13" t="s">
        <v>35</v>
      </c>
      <c r="H13" s="3">
        <v>46</v>
      </c>
      <c r="I13">
        <v>23</v>
      </c>
      <c r="J13" s="3">
        <v>60</v>
      </c>
      <c r="K13">
        <v>1</v>
      </c>
      <c r="L13" t="s">
        <v>36</v>
      </c>
      <c r="M13" s="1">
        <v>4.5239431243166628</v>
      </c>
      <c r="N13" t="s">
        <v>61</v>
      </c>
      <c r="O13" t="s">
        <v>45</v>
      </c>
      <c r="P13" s="3">
        <v>28</v>
      </c>
      <c r="Q13" s="3">
        <v>362</v>
      </c>
      <c r="R13" s="3">
        <v>11</v>
      </c>
      <c r="S13" s="1">
        <v>27.592363086663696</v>
      </c>
      <c r="T13" t="s">
        <v>30</v>
      </c>
      <c r="U13" s="2">
        <v>2.1169821372994391E-2</v>
      </c>
      <c r="V13" t="s">
        <v>40</v>
      </c>
      <c r="W13" t="s">
        <v>48</v>
      </c>
      <c r="X13" s="1">
        <v>126.72303340940725</v>
      </c>
      <c r="Y13" s="1">
        <f>supply_chain_data4[[#This Row],[Revenue_generated ]]/supply_chain_data4[[#This Row],[Number_of_products sold]]</f>
        <v>6.3541084537306789</v>
      </c>
      <c r="Z13" t="str">
        <f>IF(supply_chain_data4[[#This Row],[Stock_levels]]&lt;30,"Low Stock",
IF(supply_chain_data4[[#This Row],[Stock_levels]]&lt;=70,"Medium Stock","High Stock"))</f>
        <v>Medium Stock</v>
      </c>
      <c r="AA13" t="str">
        <f>IF(supply_chain_data4[[#This Row],[Lead_time]]&lt;=10,"Short",
IF(supply_chain_data4[[#This Row],[Lead_time]]&lt;=20,"Medium","Long"))</f>
        <v>Long</v>
      </c>
      <c r="AB13" t="str">
        <f>IF(supply_chain_data4[[#This Row],[Defect_rates]]&lt;2,"Low Defect",
IF(supply_chain_data4[[#This Row],[Defect_rates]]&lt;=4,"Medium Defect","High Defect"))</f>
        <v>Low Defect</v>
      </c>
      <c r="AC13" s="1">
        <f>supply_chain_data4[[#This Row],[Production_volumes]]*supply_chain_data4[[#This Row],[Manufacturing_costs]]</f>
        <v>9988.4354373722581</v>
      </c>
      <c r="AD13" s="1">
        <f>supply_chain_data4[[#This Row],[Order_quantities]]*supply_chain_data4[[#This Row],[Shipping_costs]]</f>
        <v>271.43658745899978</v>
      </c>
      <c r="AE13" s="1">
        <f>supply_chain_data4[[#This Row],[Revenue_generated ]]-AC13-AD13</f>
        <v>-4159.9279092498055</v>
      </c>
    </row>
    <row r="14" spans="1:31" x14ac:dyDescent="0.3">
      <c r="A14" t="s">
        <v>24</v>
      </c>
      <c r="B14" t="s">
        <v>66</v>
      </c>
      <c r="C14" s="1">
        <v>71.213389075360084</v>
      </c>
      <c r="D14" s="3">
        <v>41</v>
      </c>
      <c r="E14" s="3">
        <v>336</v>
      </c>
      <c r="F14" s="5">
        <v>2873.7414460214413</v>
      </c>
      <c r="G14" t="s">
        <v>38</v>
      </c>
      <c r="H14" s="3">
        <v>100</v>
      </c>
      <c r="I14">
        <v>30</v>
      </c>
      <c r="J14" s="3">
        <v>85</v>
      </c>
      <c r="K14">
        <v>4</v>
      </c>
      <c r="L14" t="s">
        <v>36</v>
      </c>
      <c r="M14" s="1">
        <v>1.325274010184522</v>
      </c>
      <c r="N14" t="s">
        <v>52</v>
      </c>
      <c r="O14" t="s">
        <v>45</v>
      </c>
      <c r="P14" s="3">
        <v>3</v>
      </c>
      <c r="Q14" s="3">
        <v>563</v>
      </c>
      <c r="R14" s="3">
        <v>3</v>
      </c>
      <c r="S14" s="1">
        <v>32.321286213424031</v>
      </c>
      <c r="T14" t="s">
        <v>46</v>
      </c>
      <c r="U14" s="2">
        <v>2.1612537475559117</v>
      </c>
      <c r="V14" t="s">
        <v>31</v>
      </c>
      <c r="W14" t="s">
        <v>32</v>
      </c>
      <c r="X14" s="1">
        <v>402.96878907377061</v>
      </c>
      <c r="Y14" s="1">
        <f>supply_chain_data4[[#This Row],[Revenue_generated ]]/supply_chain_data4[[#This Row],[Number_of_products sold]]</f>
        <v>8.5528019226828604</v>
      </c>
      <c r="Z14" t="str">
        <f>IF(supply_chain_data4[[#This Row],[Stock_levels]]&lt;30,"Low Stock",
IF(supply_chain_data4[[#This Row],[Stock_levels]]&lt;=70,"Medium Stock","High Stock"))</f>
        <v>High Stock</v>
      </c>
      <c r="AA14" t="str">
        <f>IF(supply_chain_data4[[#This Row],[Lead_time]]&lt;=10,"Short",
IF(supply_chain_data4[[#This Row],[Lead_time]]&lt;=20,"Medium","Long"))</f>
        <v>Short</v>
      </c>
      <c r="AB14" t="str">
        <f>IF(supply_chain_data4[[#This Row],[Defect_rates]]&lt;2,"Low Defect",
IF(supply_chain_data4[[#This Row],[Defect_rates]]&lt;=4,"Medium Defect","High Defect"))</f>
        <v>Medium Defect</v>
      </c>
      <c r="AC14" s="1">
        <f>supply_chain_data4[[#This Row],[Production_volumes]]*supply_chain_data4[[#This Row],[Manufacturing_costs]]</f>
        <v>18196.884138157729</v>
      </c>
      <c r="AD14" s="1">
        <f>supply_chain_data4[[#This Row],[Order_quantities]]*supply_chain_data4[[#This Row],[Shipping_costs]]</f>
        <v>112.64829086568437</v>
      </c>
      <c r="AE14" s="1">
        <f>supply_chain_data4[[#This Row],[Revenue_generated ]]-AC14-AD14</f>
        <v>-15435.790983001971</v>
      </c>
    </row>
    <row r="15" spans="1:31" x14ac:dyDescent="0.3">
      <c r="A15" t="s">
        <v>33</v>
      </c>
      <c r="B15" t="s">
        <v>67</v>
      </c>
      <c r="C15" s="1">
        <v>16.160393317379977</v>
      </c>
      <c r="D15" s="3">
        <v>5</v>
      </c>
      <c r="E15" s="3">
        <v>249</v>
      </c>
      <c r="F15" s="5">
        <v>4052.7384162378667</v>
      </c>
      <c r="G15" t="s">
        <v>55</v>
      </c>
      <c r="H15" s="3">
        <v>80</v>
      </c>
      <c r="I15">
        <v>8</v>
      </c>
      <c r="J15" s="3">
        <v>48</v>
      </c>
      <c r="K15">
        <v>9</v>
      </c>
      <c r="L15" t="s">
        <v>36</v>
      </c>
      <c r="M15" s="1">
        <v>9.5372830611083383</v>
      </c>
      <c r="N15" t="s">
        <v>44</v>
      </c>
      <c r="O15" t="s">
        <v>53</v>
      </c>
      <c r="P15" s="3">
        <v>23</v>
      </c>
      <c r="Q15" s="3">
        <v>173</v>
      </c>
      <c r="R15" s="3">
        <v>10</v>
      </c>
      <c r="S15" s="1">
        <v>97.82905011017327</v>
      </c>
      <c r="T15" t="s">
        <v>30</v>
      </c>
      <c r="U15" s="2">
        <v>1.6310742300715386</v>
      </c>
      <c r="V15" t="s">
        <v>31</v>
      </c>
      <c r="W15" t="s">
        <v>32</v>
      </c>
      <c r="X15" s="1">
        <v>547.24100516096848</v>
      </c>
      <c r="Y15" s="1">
        <f>supply_chain_data4[[#This Row],[Revenue_generated ]]/supply_chain_data4[[#This Row],[Number_of_products sold]]</f>
        <v>16.276057896537615</v>
      </c>
      <c r="Z15" t="str">
        <f>IF(supply_chain_data4[[#This Row],[Stock_levels]]&lt;30,"Low Stock",
IF(supply_chain_data4[[#This Row],[Stock_levels]]&lt;=70,"Medium Stock","High Stock"))</f>
        <v>High Stock</v>
      </c>
      <c r="AA15" t="str">
        <f>IF(supply_chain_data4[[#This Row],[Lead_time]]&lt;=10,"Short",
IF(supply_chain_data4[[#This Row],[Lead_time]]&lt;=20,"Medium","Long"))</f>
        <v>Long</v>
      </c>
      <c r="AB15" t="str">
        <f>IF(supply_chain_data4[[#This Row],[Defect_rates]]&lt;2,"Low Defect",
IF(supply_chain_data4[[#This Row],[Defect_rates]]&lt;=4,"Medium Defect","High Defect"))</f>
        <v>Low Defect</v>
      </c>
      <c r="AC15" s="1">
        <f>supply_chain_data4[[#This Row],[Production_volumes]]*supply_chain_data4[[#This Row],[Manufacturing_costs]]</f>
        <v>16924.425669059976</v>
      </c>
      <c r="AD15" s="1">
        <f>supply_chain_data4[[#This Row],[Order_quantities]]*supply_chain_data4[[#This Row],[Shipping_costs]]</f>
        <v>457.78958693320021</v>
      </c>
      <c r="AE15" s="1">
        <f>supply_chain_data4[[#This Row],[Revenue_generated ]]-AC15-AD15</f>
        <v>-13329.476839755311</v>
      </c>
    </row>
    <row r="16" spans="1:31" x14ac:dyDescent="0.3">
      <c r="A16" t="s">
        <v>33</v>
      </c>
      <c r="B16" t="s">
        <v>68</v>
      </c>
      <c r="C16" s="1">
        <v>99.171328638624189</v>
      </c>
      <c r="D16" s="3">
        <v>26</v>
      </c>
      <c r="E16" s="3">
        <v>562</v>
      </c>
      <c r="F16" s="5">
        <v>8653.5709264698016</v>
      </c>
      <c r="G16" t="s">
        <v>26</v>
      </c>
      <c r="H16" s="3">
        <v>54</v>
      </c>
      <c r="I16">
        <v>29</v>
      </c>
      <c r="J16" s="3">
        <v>78</v>
      </c>
      <c r="K16">
        <v>5</v>
      </c>
      <c r="L16" t="s">
        <v>27</v>
      </c>
      <c r="M16" s="1">
        <v>2.0397701894493316</v>
      </c>
      <c r="N16" t="s">
        <v>39</v>
      </c>
      <c r="O16" t="s">
        <v>45</v>
      </c>
      <c r="P16" s="3">
        <v>25</v>
      </c>
      <c r="Q16" s="3">
        <v>558</v>
      </c>
      <c r="R16" s="3">
        <v>14</v>
      </c>
      <c r="S16" s="1">
        <v>5.7914366298629893</v>
      </c>
      <c r="T16" t="s">
        <v>30</v>
      </c>
      <c r="U16" s="2">
        <v>0.10068285156509371</v>
      </c>
      <c r="V16" t="s">
        <v>40</v>
      </c>
      <c r="W16" t="s">
        <v>32</v>
      </c>
      <c r="X16" s="1">
        <v>929.23528996088965</v>
      </c>
      <c r="Y16" s="1">
        <f>supply_chain_data4[[#This Row],[Revenue_generated ]]/supply_chain_data4[[#This Row],[Number_of_products sold]]</f>
        <v>15.397813036423134</v>
      </c>
      <c r="Z16" t="str">
        <f>IF(supply_chain_data4[[#This Row],[Stock_levels]]&lt;30,"Low Stock",
IF(supply_chain_data4[[#This Row],[Stock_levels]]&lt;=70,"Medium Stock","High Stock"))</f>
        <v>Medium Stock</v>
      </c>
      <c r="AA16" t="str">
        <f>IF(supply_chain_data4[[#This Row],[Lead_time]]&lt;=10,"Short",
IF(supply_chain_data4[[#This Row],[Lead_time]]&lt;=20,"Medium","Long"))</f>
        <v>Long</v>
      </c>
      <c r="AB16" t="str">
        <f>IF(supply_chain_data4[[#This Row],[Defect_rates]]&lt;2,"Low Defect",
IF(supply_chain_data4[[#This Row],[Defect_rates]]&lt;=4,"Medium Defect","High Defect"))</f>
        <v>Low Defect</v>
      </c>
      <c r="AC16" s="1">
        <f>supply_chain_data4[[#This Row],[Production_volumes]]*supply_chain_data4[[#This Row],[Manufacturing_costs]]</f>
        <v>3231.621639463548</v>
      </c>
      <c r="AD16" s="1">
        <f>supply_chain_data4[[#This Row],[Order_quantities]]*supply_chain_data4[[#This Row],[Shipping_costs]]</f>
        <v>159.10207477704787</v>
      </c>
      <c r="AE16" s="1">
        <f>supply_chain_data4[[#This Row],[Revenue_generated ]]-AC16-AD16</f>
        <v>5262.8472122292051</v>
      </c>
    </row>
    <row r="17" spans="1:31" x14ac:dyDescent="0.3">
      <c r="A17" t="s">
        <v>33</v>
      </c>
      <c r="B17" t="s">
        <v>69</v>
      </c>
      <c r="C17" s="1">
        <v>36.98924492862691</v>
      </c>
      <c r="D17" s="3">
        <v>94</v>
      </c>
      <c r="E17" s="3">
        <v>469</v>
      </c>
      <c r="F17" s="5">
        <v>5442.0867853976733</v>
      </c>
      <c r="G17" t="s">
        <v>26</v>
      </c>
      <c r="H17" s="3">
        <v>9</v>
      </c>
      <c r="I17">
        <v>8</v>
      </c>
      <c r="J17" s="3">
        <v>69</v>
      </c>
      <c r="K17">
        <v>7</v>
      </c>
      <c r="L17" t="s">
        <v>27</v>
      </c>
      <c r="M17" s="1">
        <v>2.4220397232752044</v>
      </c>
      <c r="N17" t="s">
        <v>39</v>
      </c>
      <c r="O17" t="s">
        <v>53</v>
      </c>
      <c r="P17" s="3">
        <v>14</v>
      </c>
      <c r="Q17" s="3">
        <v>580</v>
      </c>
      <c r="R17" s="3">
        <v>7</v>
      </c>
      <c r="S17" s="1">
        <v>97.121281751474314</v>
      </c>
      <c r="T17" t="s">
        <v>64</v>
      </c>
      <c r="U17" s="2">
        <v>2.2644057611985491</v>
      </c>
      <c r="V17" t="s">
        <v>56</v>
      </c>
      <c r="W17" t="s">
        <v>32</v>
      </c>
      <c r="X17" s="1">
        <v>127.86180000162541</v>
      </c>
      <c r="Y17" s="1">
        <f>supply_chain_data4[[#This Row],[Revenue_generated ]]/supply_chain_data4[[#This Row],[Number_of_products sold]]</f>
        <v>11.603596557351116</v>
      </c>
      <c r="Z17" t="str">
        <f>IF(supply_chain_data4[[#This Row],[Stock_levels]]&lt;30,"Low Stock",
IF(supply_chain_data4[[#This Row],[Stock_levels]]&lt;=70,"Medium Stock","High Stock"))</f>
        <v>Low Stock</v>
      </c>
      <c r="AA17" t="str">
        <f>IF(supply_chain_data4[[#This Row],[Lead_time]]&lt;=10,"Short",
IF(supply_chain_data4[[#This Row],[Lead_time]]&lt;=20,"Medium","Long"))</f>
        <v>Medium</v>
      </c>
      <c r="AB17" t="str">
        <f>IF(supply_chain_data4[[#This Row],[Defect_rates]]&lt;2,"Low Defect",
IF(supply_chain_data4[[#This Row],[Defect_rates]]&lt;=4,"Medium Defect","High Defect"))</f>
        <v>Medium Defect</v>
      </c>
      <c r="AC17" s="1">
        <f>supply_chain_data4[[#This Row],[Production_volumes]]*supply_chain_data4[[#This Row],[Manufacturing_costs]]</f>
        <v>56330.343415855103</v>
      </c>
      <c r="AD17" s="1">
        <f>supply_chain_data4[[#This Row],[Order_quantities]]*supply_chain_data4[[#This Row],[Shipping_costs]]</f>
        <v>167.12074090598909</v>
      </c>
      <c r="AE17" s="1">
        <f>supply_chain_data4[[#This Row],[Revenue_generated ]]-AC17-AD17</f>
        <v>-51055.377371363415</v>
      </c>
    </row>
    <row r="18" spans="1:31" x14ac:dyDescent="0.3">
      <c r="A18" t="s">
        <v>33</v>
      </c>
      <c r="B18" t="s">
        <v>70</v>
      </c>
      <c r="C18" s="1">
        <v>7.5471721097912718</v>
      </c>
      <c r="D18" s="3">
        <v>74</v>
      </c>
      <c r="E18" s="3">
        <v>280</v>
      </c>
      <c r="F18" s="5">
        <v>6453.7979681762854</v>
      </c>
      <c r="G18" t="s">
        <v>35</v>
      </c>
      <c r="H18" s="3">
        <v>2</v>
      </c>
      <c r="I18">
        <v>5</v>
      </c>
      <c r="J18" s="3">
        <v>78</v>
      </c>
      <c r="K18">
        <v>1</v>
      </c>
      <c r="L18" t="s">
        <v>27</v>
      </c>
      <c r="M18" s="1">
        <v>4.1913245857055017</v>
      </c>
      <c r="N18" t="s">
        <v>39</v>
      </c>
      <c r="O18" t="s">
        <v>53</v>
      </c>
      <c r="P18" s="3">
        <v>3</v>
      </c>
      <c r="Q18" s="3">
        <v>399</v>
      </c>
      <c r="R18" s="3">
        <v>21</v>
      </c>
      <c r="S18" s="1">
        <v>77.106342497850008</v>
      </c>
      <c r="T18" t="s">
        <v>64</v>
      </c>
      <c r="U18" s="2">
        <v>1.0125630892580491</v>
      </c>
      <c r="V18" t="s">
        <v>40</v>
      </c>
      <c r="W18" t="s">
        <v>48</v>
      </c>
      <c r="X18" s="1">
        <v>865.52577977124031</v>
      </c>
      <c r="Y18" s="1">
        <f>supply_chain_data4[[#This Row],[Revenue_generated ]]/supply_chain_data4[[#This Row],[Number_of_products sold]]</f>
        <v>23.049278457772449</v>
      </c>
      <c r="Z18" t="str">
        <f>IF(supply_chain_data4[[#This Row],[Stock_levels]]&lt;30,"Low Stock",
IF(supply_chain_data4[[#This Row],[Stock_levels]]&lt;=70,"Medium Stock","High Stock"))</f>
        <v>Low Stock</v>
      </c>
      <c r="AA18" t="str">
        <f>IF(supply_chain_data4[[#This Row],[Lead_time]]&lt;=10,"Short",
IF(supply_chain_data4[[#This Row],[Lead_time]]&lt;=20,"Medium","Long"))</f>
        <v>Short</v>
      </c>
      <c r="AB18" t="str">
        <f>IF(supply_chain_data4[[#This Row],[Defect_rates]]&lt;2,"Low Defect",
IF(supply_chain_data4[[#This Row],[Defect_rates]]&lt;=4,"Medium Defect","High Defect"))</f>
        <v>Low Defect</v>
      </c>
      <c r="AC18" s="1">
        <f>supply_chain_data4[[#This Row],[Production_volumes]]*supply_chain_data4[[#This Row],[Manufacturing_costs]]</f>
        <v>30765.430656642155</v>
      </c>
      <c r="AD18" s="1">
        <f>supply_chain_data4[[#This Row],[Order_quantities]]*supply_chain_data4[[#This Row],[Shipping_costs]]</f>
        <v>326.92331768502913</v>
      </c>
      <c r="AE18" s="1">
        <f>supply_chain_data4[[#This Row],[Revenue_generated ]]-AC18-AD18</f>
        <v>-24638.556006150899</v>
      </c>
    </row>
    <row r="19" spans="1:31" x14ac:dyDescent="0.3">
      <c r="A19" t="s">
        <v>57</v>
      </c>
      <c r="B19" t="s">
        <v>71</v>
      </c>
      <c r="C19" s="1">
        <v>81.462534369237019</v>
      </c>
      <c r="D19" s="3">
        <v>82</v>
      </c>
      <c r="E19" s="3">
        <v>126</v>
      </c>
      <c r="F19" s="5">
        <v>2629.3964348452619</v>
      </c>
      <c r="G19" t="s">
        <v>35</v>
      </c>
      <c r="H19" s="3">
        <v>45</v>
      </c>
      <c r="I19">
        <v>17</v>
      </c>
      <c r="J19" s="3">
        <v>85</v>
      </c>
      <c r="K19">
        <v>9</v>
      </c>
      <c r="L19" t="s">
        <v>43</v>
      </c>
      <c r="M19" s="1">
        <v>3.5854189582323421</v>
      </c>
      <c r="N19" t="s">
        <v>39</v>
      </c>
      <c r="O19" t="s">
        <v>62</v>
      </c>
      <c r="P19" s="3">
        <v>7</v>
      </c>
      <c r="Q19" s="3">
        <v>453</v>
      </c>
      <c r="R19" s="3">
        <v>16</v>
      </c>
      <c r="S19" s="1">
        <v>47.679680368355335</v>
      </c>
      <c r="T19" t="s">
        <v>46</v>
      </c>
      <c r="U19" s="2">
        <v>0.10202075491817619</v>
      </c>
      <c r="V19" t="s">
        <v>40</v>
      </c>
      <c r="W19" t="s">
        <v>41</v>
      </c>
      <c r="X19" s="1">
        <v>670.93439079241034</v>
      </c>
      <c r="Y19" s="1">
        <f>supply_chain_data4[[#This Row],[Revenue_generated ]]/supply_chain_data4[[#This Row],[Number_of_products sold]]</f>
        <v>20.868225673375093</v>
      </c>
      <c r="Z19" t="str">
        <f>IF(supply_chain_data4[[#This Row],[Stock_levels]]&lt;30,"Low Stock",
IF(supply_chain_data4[[#This Row],[Stock_levels]]&lt;=70,"Medium Stock","High Stock"))</f>
        <v>Medium Stock</v>
      </c>
      <c r="AA19" t="str">
        <f>IF(supply_chain_data4[[#This Row],[Lead_time]]&lt;=10,"Short",
IF(supply_chain_data4[[#This Row],[Lead_time]]&lt;=20,"Medium","Long"))</f>
        <v>Short</v>
      </c>
      <c r="AB19" t="str">
        <f>IF(supply_chain_data4[[#This Row],[Defect_rates]]&lt;2,"Low Defect",
IF(supply_chain_data4[[#This Row],[Defect_rates]]&lt;=4,"Medium Defect","High Defect"))</f>
        <v>Low Defect</v>
      </c>
      <c r="AC19" s="1">
        <f>supply_chain_data4[[#This Row],[Production_volumes]]*supply_chain_data4[[#This Row],[Manufacturing_costs]]</f>
        <v>21598.895206864967</v>
      </c>
      <c r="AD19" s="1">
        <f>supply_chain_data4[[#This Row],[Order_quantities]]*supply_chain_data4[[#This Row],[Shipping_costs]]</f>
        <v>304.76061144974909</v>
      </c>
      <c r="AE19" s="1">
        <f>supply_chain_data4[[#This Row],[Revenue_generated ]]-AC19-AD19</f>
        <v>-19274.259383469456</v>
      </c>
    </row>
    <row r="20" spans="1:31" x14ac:dyDescent="0.3">
      <c r="A20" t="s">
        <v>24</v>
      </c>
      <c r="B20" t="s">
        <v>72</v>
      </c>
      <c r="C20" s="1">
        <v>36.443627770460935</v>
      </c>
      <c r="D20" s="3">
        <v>23</v>
      </c>
      <c r="E20" s="3">
        <v>620</v>
      </c>
      <c r="F20" s="5">
        <v>9364.6735050761727</v>
      </c>
      <c r="G20" t="s">
        <v>38</v>
      </c>
      <c r="H20" s="3">
        <v>10</v>
      </c>
      <c r="I20">
        <v>10</v>
      </c>
      <c r="J20" s="3">
        <v>46</v>
      </c>
      <c r="K20">
        <v>8</v>
      </c>
      <c r="L20" t="s">
        <v>43</v>
      </c>
      <c r="M20" s="1">
        <v>4.339224714110709</v>
      </c>
      <c r="N20" t="s">
        <v>61</v>
      </c>
      <c r="O20" t="s">
        <v>45</v>
      </c>
      <c r="P20" s="3">
        <v>18</v>
      </c>
      <c r="Q20" s="3">
        <v>374</v>
      </c>
      <c r="R20" s="3">
        <v>17</v>
      </c>
      <c r="S20" s="1">
        <v>27.10798085484392</v>
      </c>
      <c r="T20" t="s">
        <v>30</v>
      </c>
      <c r="U20" s="2">
        <v>2.2319391107292637</v>
      </c>
      <c r="V20" t="s">
        <v>56</v>
      </c>
      <c r="W20" t="s">
        <v>48</v>
      </c>
      <c r="X20" s="1">
        <v>593.48025872065182</v>
      </c>
      <c r="Y20" s="1">
        <f>supply_chain_data4[[#This Row],[Revenue_generated ]]/supply_chain_data4[[#This Row],[Number_of_products sold]]</f>
        <v>15.104312104961569</v>
      </c>
      <c r="Z20" t="str">
        <f>IF(supply_chain_data4[[#This Row],[Stock_levels]]&lt;30,"Low Stock",
IF(supply_chain_data4[[#This Row],[Stock_levels]]&lt;=70,"Medium Stock","High Stock"))</f>
        <v>Low Stock</v>
      </c>
      <c r="AA20" t="str">
        <f>IF(supply_chain_data4[[#This Row],[Lead_time]]&lt;=10,"Short",
IF(supply_chain_data4[[#This Row],[Lead_time]]&lt;=20,"Medium","Long"))</f>
        <v>Medium</v>
      </c>
      <c r="AB20" t="str">
        <f>IF(supply_chain_data4[[#This Row],[Defect_rates]]&lt;2,"Low Defect",
IF(supply_chain_data4[[#This Row],[Defect_rates]]&lt;=4,"Medium Defect","High Defect"))</f>
        <v>Medium Defect</v>
      </c>
      <c r="AC20" s="1">
        <f>supply_chain_data4[[#This Row],[Production_volumes]]*supply_chain_data4[[#This Row],[Manufacturing_costs]]</f>
        <v>10138.384839711625</v>
      </c>
      <c r="AD20" s="1">
        <f>supply_chain_data4[[#This Row],[Order_quantities]]*supply_chain_data4[[#This Row],[Shipping_costs]]</f>
        <v>199.60433684909262</v>
      </c>
      <c r="AE20" s="1">
        <f>supply_chain_data4[[#This Row],[Revenue_generated ]]-AC20-AD20</f>
        <v>-973.31567148454531</v>
      </c>
    </row>
    <row r="21" spans="1:31" x14ac:dyDescent="0.3">
      <c r="A21" t="s">
        <v>33</v>
      </c>
      <c r="B21" t="s">
        <v>73</v>
      </c>
      <c r="C21" s="1">
        <v>51.12387008796474</v>
      </c>
      <c r="D21" s="3">
        <v>100</v>
      </c>
      <c r="E21" s="3">
        <v>187</v>
      </c>
      <c r="F21" s="5">
        <v>2553.4955849912149</v>
      </c>
      <c r="G21" t="s">
        <v>38</v>
      </c>
      <c r="H21" s="3">
        <v>48</v>
      </c>
      <c r="I21">
        <v>11</v>
      </c>
      <c r="J21" s="3">
        <v>94</v>
      </c>
      <c r="K21">
        <v>3</v>
      </c>
      <c r="L21" t="s">
        <v>36</v>
      </c>
      <c r="M21" s="1">
        <v>4.7426358828418769</v>
      </c>
      <c r="N21" t="s">
        <v>52</v>
      </c>
      <c r="O21" t="s">
        <v>62</v>
      </c>
      <c r="P21" s="3">
        <v>20</v>
      </c>
      <c r="Q21" s="3">
        <v>694</v>
      </c>
      <c r="R21" s="3">
        <v>16</v>
      </c>
      <c r="S21" s="1">
        <v>82.373320587990207</v>
      </c>
      <c r="T21" t="s">
        <v>46</v>
      </c>
      <c r="U21" s="2">
        <v>3.6464508654170293</v>
      </c>
      <c r="V21" t="s">
        <v>31</v>
      </c>
      <c r="W21" t="s">
        <v>41</v>
      </c>
      <c r="X21" s="1">
        <v>477.30763109090344</v>
      </c>
      <c r="Y21" s="1">
        <f>supply_chain_data4[[#This Row],[Revenue_generated ]]/supply_chain_data4[[#This Row],[Number_of_products sold]]</f>
        <v>13.655056604231095</v>
      </c>
      <c r="Z21" t="str">
        <f>IF(supply_chain_data4[[#This Row],[Stock_levels]]&lt;30,"Low Stock",
IF(supply_chain_data4[[#This Row],[Stock_levels]]&lt;=70,"Medium Stock","High Stock"))</f>
        <v>Medium Stock</v>
      </c>
      <c r="AA21" t="str">
        <f>IF(supply_chain_data4[[#This Row],[Lead_time]]&lt;=10,"Short",
IF(supply_chain_data4[[#This Row],[Lead_time]]&lt;=20,"Medium","Long"))</f>
        <v>Medium</v>
      </c>
      <c r="AB21" t="str">
        <f>IF(supply_chain_data4[[#This Row],[Defect_rates]]&lt;2,"Low Defect",
IF(supply_chain_data4[[#This Row],[Defect_rates]]&lt;=4,"Medium Defect","High Defect"))</f>
        <v>Medium Defect</v>
      </c>
      <c r="AC21" s="1">
        <f>supply_chain_data4[[#This Row],[Production_volumes]]*supply_chain_data4[[#This Row],[Manufacturing_costs]]</f>
        <v>57167.0844880652</v>
      </c>
      <c r="AD21" s="1">
        <f>supply_chain_data4[[#This Row],[Order_quantities]]*supply_chain_data4[[#This Row],[Shipping_costs]]</f>
        <v>445.80777298713645</v>
      </c>
      <c r="AE21" s="1">
        <f>supply_chain_data4[[#This Row],[Revenue_generated ]]-AC21-AD21</f>
        <v>-55059.396676061122</v>
      </c>
    </row>
    <row r="22" spans="1:31" x14ac:dyDescent="0.3">
      <c r="A22" t="s">
        <v>33</v>
      </c>
      <c r="B22" t="s">
        <v>74</v>
      </c>
      <c r="C22" s="1">
        <v>96.341072439963384</v>
      </c>
      <c r="D22" s="3">
        <v>22</v>
      </c>
      <c r="E22" s="3">
        <v>320</v>
      </c>
      <c r="F22" s="5">
        <v>8128.0276968511916</v>
      </c>
      <c r="G22" t="s">
        <v>38</v>
      </c>
      <c r="H22" s="3">
        <v>27</v>
      </c>
      <c r="I22">
        <v>12</v>
      </c>
      <c r="J22" s="3">
        <v>68</v>
      </c>
      <c r="K22">
        <v>6</v>
      </c>
      <c r="L22" t="s">
        <v>36</v>
      </c>
      <c r="M22" s="1">
        <v>8.8783346509268402</v>
      </c>
      <c r="N22" t="s">
        <v>39</v>
      </c>
      <c r="O22" t="s">
        <v>62</v>
      </c>
      <c r="P22" s="3">
        <v>29</v>
      </c>
      <c r="Q22" s="3">
        <v>309</v>
      </c>
      <c r="R22" s="3">
        <v>6</v>
      </c>
      <c r="S22" s="1">
        <v>65.686259608488626</v>
      </c>
      <c r="T22" t="s">
        <v>64</v>
      </c>
      <c r="U22" s="2">
        <v>4.2314165735345393</v>
      </c>
      <c r="V22" t="s">
        <v>40</v>
      </c>
      <c r="W22" t="s">
        <v>32</v>
      </c>
      <c r="X22" s="1">
        <v>493.87121531620585</v>
      </c>
      <c r="Y22" s="1">
        <f>supply_chain_data4[[#This Row],[Revenue_generated ]]/supply_chain_data4[[#This Row],[Number_of_products sold]]</f>
        <v>25.400086552659975</v>
      </c>
      <c r="Z22" t="str">
        <f>IF(supply_chain_data4[[#This Row],[Stock_levels]]&lt;30,"Low Stock",
IF(supply_chain_data4[[#This Row],[Stock_levels]]&lt;=70,"Medium Stock","High Stock"))</f>
        <v>Low Stock</v>
      </c>
      <c r="AA22" t="str">
        <f>IF(supply_chain_data4[[#This Row],[Lead_time]]&lt;=10,"Short",
IF(supply_chain_data4[[#This Row],[Lead_time]]&lt;=20,"Medium","Long"))</f>
        <v>Long</v>
      </c>
      <c r="AB22" t="str">
        <f>IF(supply_chain_data4[[#This Row],[Defect_rates]]&lt;2,"Low Defect",
IF(supply_chain_data4[[#This Row],[Defect_rates]]&lt;=4,"Medium Defect","High Defect"))</f>
        <v>High Defect</v>
      </c>
      <c r="AC22" s="1">
        <f>supply_chain_data4[[#This Row],[Production_volumes]]*supply_chain_data4[[#This Row],[Manufacturing_costs]]</f>
        <v>20297.054219022986</v>
      </c>
      <c r="AD22" s="1">
        <f>supply_chain_data4[[#This Row],[Order_quantities]]*supply_chain_data4[[#This Row],[Shipping_costs]]</f>
        <v>603.72675626302509</v>
      </c>
      <c r="AE22" s="1">
        <f>supply_chain_data4[[#This Row],[Revenue_generated ]]-AC22-AD22</f>
        <v>-12772.75327843482</v>
      </c>
    </row>
    <row r="23" spans="1:31" x14ac:dyDescent="0.3">
      <c r="A23" t="s">
        <v>57</v>
      </c>
      <c r="B23" t="s">
        <v>75</v>
      </c>
      <c r="C23" s="1">
        <v>84.893868984950828</v>
      </c>
      <c r="D23" s="3">
        <v>60</v>
      </c>
      <c r="E23" s="3">
        <v>601</v>
      </c>
      <c r="F23" s="5">
        <v>7087.0526963574366</v>
      </c>
      <c r="G23" t="s">
        <v>38</v>
      </c>
      <c r="H23" s="3">
        <v>69</v>
      </c>
      <c r="I23">
        <v>25</v>
      </c>
      <c r="J23" s="3">
        <v>7</v>
      </c>
      <c r="K23">
        <v>6</v>
      </c>
      <c r="L23" t="s">
        <v>27</v>
      </c>
      <c r="M23" s="1">
        <v>6.0378837692182978</v>
      </c>
      <c r="N23" t="s">
        <v>44</v>
      </c>
      <c r="O23" t="s">
        <v>62</v>
      </c>
      <c r="P23" s="3">
        <v>19</v>
      </c>
      <c r="Q23" s="3">
        <v>791</v>
      </c>
      <c r="R23" s="3">
        <v>4</v>
      </c>
      <c r="S23" s="1">
        <v>61.735728954160933</v>
      </c>
      <c r="T23" t="s">
        <v>30</v>
      </c>
      <c r="U23" s="2">
        <v>1.8607567631014899E-2</v>
      </c>
      <c r="V23" t="s">
        <v>40</v>
      </c>
      <c r="W23" t="s">
        <v>41</v>
      </c>
      <c r="X23" s="1">
        <v>523.36091472015801</v>
      </c>
      <c r="Y23" s="1">
        <f>supply_chain_data4[[#This Row],[Revenue_generated ]]/supply_chain_data4[[#This Row],[Number_of_products sold]]</f>
        <v>11.79210099227527</v>
      </c>
      <c r="Z23" t="str">
        <f>IF(supply_chain_data4[[#This Row],[Stock_levels]]&lt;30,"Low Stock",
IF(supply_chain_data4[[#This Row],[Stock_levels]]&lt;=70,"Medium Stock","High Stock"))</f>
        <v>Medium Stock</v>
      </c>
      <c r="AA23" t="str">
        <f>IF(supply_chain_data4[[#This Row],[Lead_time]]&lt;=10,"Short",
IF(supply_chain_data4[[#This Row],[Lead_time]]&lt;=20,"Medium","Long"))</f>
        <v>Medium</v>
      </c>
      <c r="AB23" t="str">
        <f>IF(supply_chain_data4[[#This Row],[Defect_rates]]&lt;2,"Low Defect",
IF(supply_chain_data4[[#This Row],[Defect_rates]]&lt;=4,"Medium Defect","High Defect"))</f>
        <v>Low Defect</v>
      </c>
      <c r="AC23" s="1">
        <f>supply_chain_data4[[#This Row],[Production_volumes]]*supply_chain_data4[[#This Row],[Manufacturing_costs]]</f>
        <v>48832.961602741299</v>
      </c>
      <c r="AD23" s="1">
        <f>supply_chain_data4[[#This Row],[Order_quantities]]*supply_chain_data4[[#This Row],[Shipping_costs]]</f>
        <v>42.265186384528086</v>
      </c>
      <c r="AE23" s="1">
        <f>supply_chain_data4[[#This Row],[Revenue_generated ]]-AC23-AD23</f>
        <v>-41788.174092768393</v>
      </c>
    </row>
    <row r="24" spans="1:31" x14ac:dyDescent="0.3">
      <c r="A24" t="s">
        <v>24</v>
      </c>
      <c r="B24" t="s">
        <v>76</v>
      </c>
      <c r="C24" s="1">
        <v>27.679780886501959</v>
      </c>
      <c r="D24" s="3">
        <v>55</v>
      </c>
      <c r="E24" s="3">
        <v>884</v>
      </c>
      <c r="F24" s="5">
        <v>2390.8078665561734</v>
      </c>
      <c r="G24" t="s">
        <v>38</v>
      </c>
      <c r="H24" s="3">
        <v>71</v>
      </c>
      <c r="I24">
        <v>1</v>
      </c>
      <c r="J24" s="3">
        <v>63</v>
      </c>
      <c r="K24">
        <v>10</v>
      </c>
      <c r="L24" t="s">
        <v>36</v>
      </c>
      <c r="M24" s="1">
        <v>9.5676489209230393</v>
      </c>
      <c r="N24" t="s">
        <v>52</v>
      </c>
      <c r="O24" t="s">
        <v>45</v>
      </c>
      <c r="P24" s="3">
        <v>22</v>
      </c>
      <c r="Q24" s="3">
        <v>780</v>
      </c>
      <c r="R24" s="3">
        <v>28</v>
      </c>
      <c r="S24" s="1">
        <v>50.120839612977349</v>
      </c>
      <c r="T24" t="s">
        <v>46</v>
      </c>
      <c r="U24" s="2">
        <v>2.5912754732111161</v>
      </c>
      <c r="V24" t="s">
        <v>47</v>
      </c>
      <c r="W24" t="s">
        <v>41</v>
      </c>
      <c r="X24" s="1">
        <v>205.57199582694707</v>
      </c>
      <c r="Y24" s="1">
        <f>supply_chain_data4[[#This Row],[Revenue_generated ]]/supply_chain_data4[[#This Row],[Number_of_products sold]]</f>
        <v>2.7045337856970288</v>
      </c>
      <c r="Z24" t="str">
        <f>IF(supply_chain_data4[[#This Row],[Stock_levels]]&lt;30,"Low Stock",
IF(supply_chain_data4[[#This Row],[Stock_levels]]&lt;=70,"Medium Stock","High Stock"))</f>
        <v>High Stock</v>
      </c>
      <c r="AA24" t="str">
        <f>IF(supply_chain_data4[[#This Row],[Lead_time]]&lt;=10,"Short",
IF(supply_chain_data4[[#This Row],[Lead_time]]&lt;=20,"Medium","Long"))</f>
        <v>Long</v>
      </c>
      <c r="AB24" t="str">
        <f>IF(supply_chain_data4[[#This Row],[Defect_rates]]&lt;2,"Low Defect",
IF(supply_chain_data4[[#This Row],[Defect_rates]]&lt;=4,"Medium Defect","High Defect"))</f>
        <v>Medium Defect</v>
      </c>
      <c r="AC24" s="1">
        <f>supply_chain_data4[[#This Row],[Production_volumes]]*supply_chain_data4[[#This Row],[Manufacturing_costs]]</f>
        <v>39094.25489812233</v>
      </c>
      <c r="AD24" s="1">
        <f>supply_chain_data4[[#This Row],[Order_quantities]]*supply_chain_data4[[#This Row],[Shipping_costs]]</f>
        <v>602.76188201815148</v>
      </c>
      <c r="AE24" s="1">
        <f>supply_chain_data4[[#This Row],[Revenue_generated ]]-AC24-AD24</f>
        <v>-37306.208913584313</v>
      </c>
    </row>
    <row r="25" spans="1:31" x14ac:dyDescent="0.3">
      <c r="A25" t="s">
        <v>57</v>
      </c>
      <c r="B25" t="s">
        <v>77</v>
      </c>
      <c r="C25" s="1">
        <v>4.3243411858641636</v>
      </c>
      <c r="D25" s="3">
        <v>30</v>
      </c>
      <c r="E25" s="3">
        <v>391</v>
      </c>
      <c r="F25" s="5">
        <v>8858.367571011484</v>
      </c>
      <c r="G25" t="s">
        <v>38</v>
      </c>
      <c r="H25" s="3">
        <v>84</v>
      </c>
      <c r="I25">
        <v>5</v>
      </c>
      <c r="J25" s="3">
        <v>29</v>
      </c>
      <c r="K25">
        <v>7</v>
      </c>
      <c r="L25" t="s">
        <v>36</v>
      </c>
      <c r="M25" s="1">
        <v>2.924857601145554</v>
      </c>
      <c r="N25" t="s">
        <v>44</v>
      </c>
      <c r="O25" t="s">
        <v>45</v>
      </c>
      <c r="P25" s="3">
        <v>11</v>
      </c>
      <c r="Q25" s="3">
        <v>568</v>
      </c>
      <c r="R25" s="3">
        <v>29</v>
      </c>
      <c r="S25" s="1">
        <v>98.609957242703871</v>
      </c>
      <c r="T25" t="s">
        <v>30</v>
      </c>
      <c r="U25" s="2">
        <v>1.3422915627227339</v>
      </c>
      <c r="V25" t="s">
        <v>47</v>
      </c>
      <c r="W25" t="s">
        <v>48</v>
      </c>
      <c r="X25" s="1">
        <v>196.32944611241268</v>
      </c>
      <c r="Y25" s="1">
        <f>supply_chain_data4[[#This Row],[Revenue_generated ]]/supply_chain_data4[[#This Row],[Number_of_products sold]]</f>
        <v>22.655671537113768</v>
      </c>
      <c r="Z25" t="str">
        <f>IF(supply_chain_data4[[#This Row],[Stock_levels]]&lt;30,"Low Stock",
IF(supply_chain_data4[[#This Row],[Stock_levels]]&lt;=70,"Medium Stock","High Stock"))</f>
        <v>High Stock</v>
      </c>
      <c r="AA25" t="str">
        <f>IF(supply_chain_data4[[#This Row],[Lead_time]]&lt;=10,"Short",
IF(supply_chain_data4[[#This Row],[Lead_time]]&lt;=20,"Medium","Long"))</f>
        <v>Medium</v>
      </c>
      <c r="AB25" t="str">
        <f>IF(supply_chain_data4[[#This Row],[Defect_rates]]&lt;2,"Low Defect",
IF(supply_chain_data4[[#This Row],[Defect_rates]]&lt;=4,"Medium Defect","High Defect"))</f>
        <v>Low Defect</v>
      </c>
      <c r="AC25" s="1">
        <f>supply_chain_data4[[#This Row],[Production_volumes]]*supply_chain_data4[[#This Row],[Manufacturing_costs]]</f>
        <v>56010.455713855801</v>
      </c>
      <c r="AD25" s="1">
        <f>supply_chain_data4[[#This Row],[Order_quantities]]*supply_chain_data4[[#This Row],[Shipping_costs]]</f>
        <v>84.820870433221074</v>
      </c>
      <c r="AE25" s="1">
        <f>supply_chain_data4[[#This Row],[Revenue_generated ]]-AC25-AD25</f>
        <v>-47236.909013277538</v>
      </c>
    </row>
    <row r="26" spans="1:31" x14ac:dyDescent="0.3">
      <c r="A26" t="s">
        <v>24</v>
      </c>
      <c r="B26" t="s">
        <v>78</v>
      </c>
      <c r="C26" s="1">
        <v>4.1563083593111081</v>
      </c>
      <c r="D26" s="3">
        <v>32</v>
      </c>
      <c r="E26" s="3">
        <v>209</v>
      </c>
      <c r="F26" s="5">
        <v>9049.0778609398967</v>
      </c>
      <c r="G26" t="s">
        <v>55</v>
      </c>
      <c r="H26" s="3">
        <v>4</v>
      </c>
      <c r="I26">
        <v>26</v>
      </c>
      <c r="J26" s="3">
        <v>2</v>
      </c>
      <c r="K26">
        <v>8</v>
      </c>
      <c r="L26" t="s">
        <v>43</v>
      </c>
      <c r="M26" s="1">
        <v>9.7412916892843686</v>
      </c>
      <c r="N26" t="s">
        <v>61</v>
      </c>
      <c r="O26" t="s">
        <v>53</v>
      </c>
      <c r="P26" s="3">
        <v>28</v>
      </c>
      <c r="Q26" s="3">
        <v>447</v>
      </c>
      <c r="R26" s="3">
        <v>3</v>
      </c>
      <c r="S26" s="1">
        <v>40.382359702924816</v>
      </c>
      <c r="T26" t="s">
        <v>30</v>
      </c>
      <c r="U26" s="2">
        <v>3.691310292628728</v>
      </c>
      <c r="V26" t="s">
        <v>40</v>
      </c>
      <c r="W26" t="s">
        <v>48</v>
      </c>
      <c r="X26" s="1">
        <v>758.72477260293829</v>
      </c>
      <c r="Y26" s="1">
        <f>supply_chain_data4[[#This Row],[Revenue_generated ]]/supply_chain_data4[[#This Row],[Number_of_products sold]]</f>
        <v>43.29702325808563</v>
      </c>
      <c r="Z26" t="str">
        <f>IF(supply_chain_data4[[#This Row],[Stock_levels]]&lt;30,"Low Stock",
IF(supply_chain_data4[[#This Row],[Stock_levels]]&lt;=70,"Medium Stock","High Stock"))</f>
        <v>Low Stock</v>
      </c>
      <c r="AA26" t="str">
        <f>IF(supply_chain_data4[[#This Row],[Lead_time]]&lt;=10,"Short",
IF(supply_chain_data4[[#This Row],[Lead_time]]&lt;=20,"Medium","Long"))</f>
        <v>Long</v>
      </c>
      <c r="AB26" t="str">
        <f>IF(supply_chain_data4[[#This Row],[Defect_rates]]&lt;2,"Low Defect",
IF(supply_chain_data4[[#This Row],[Defect_rates]]&lt;=4,"Medium Defect","High Defect"))</f>
        <v>Medium Defect</v>
      </c>
      <c r="AC26" s="1">
        <f>supply_chain_data4[[#This Row],[Production_volumes]]*supply_chain_data4[[#This Row],[Manufacturing_costs]]</f>
        <v>18050.914787207392</v>
      </c>
      <c r="AD26" s="1">
        <f>supply_chain_data4[[#This Row],[Order_quantities]]*supply_chain_data4[[#This Row],[Shipping_costs]]</f>
        <v>19.482583378568737</v>
      </c>
      <c r="AE26" s="1">
        <f>supply_chain_data4[[#This Row],[Revenue_generated ]]-AC26-AD26</f>
        <v>-9021.319509646064</v>
      </c>
    </row>
    <row r="27" spans="1:31" x14ac:dyDescent="0.3">
      <c r="A27" t="s">
        <v>24</v>
      </c>
      <c r="B27" t="s">
        <v>79</v>
      </c>
      <c r="C27" s="1">
        <v>39.629343985092625</v>
      </c>
      <c r="D27" s="3">
        <v>73</v>
      </c>
      <c r="E27" s="3">
        <v>142</v>
      </c>
      <c r="F27" s="5">
        <v>2174.777054350654</v>
      </c>
      <c r="G27" t="s">
        <v>55</v>
      </c>
      <c r="H27" s="3">
        <v>82</v>
      </c>
      <c r="I27">
        <v>11</v>
      </c>
      <c r="J27" s="3">
        <v>52</v>
      </c>
      <c r="K27">
        <v>3</v>
      </c>
      <c r="L27" t="s">
        <v>43</v>
      </c>
      <c r="M27" s="1">
        <v>2.2310736812817278</v>
      </c>
      <c r="N27" t="s">
        <v>52</v>
      </c>
      <c r="O27" t="s">
        <v>45</v>
      </c>
      <c r="P27" s="3">
        <v>19</v>
      </c>
      <c r="Q27" s="3">
        <v>934</v>
      </c>
      <c r="R27" s="3">
        <v>23</v>
      </c>
      <c r="S27" s="1">
        <v>78.280383118415386</v>
      </c>
      <c r="T27" t="s">
        <v>30</v>
      </c>
      <c r="U27" s="2">
        <v>3.7972312171141831</v>
      </c>
      <c r="V27" t="s">
        <v>31</v>
      </c>
      <c r="W27" t="s">
        <v>32</v>
      </c>
      <c r="X27" s="1">
        <v>458.53594573920907</v>
      </c>
      <c r="Y27" s="1">
        <f>supply_chain_data4[[#This Row],[Revenue_generated ]]/supply_chain_data4[[#This Row],[Number_of_products sold]]</f>
        <v>15.315331368666577</v>
      </c>
      <c r="Z27" t="str">
        <f>IF(supply_chain_data4[[#This Row],[Stock_levels]]&lt;30,"Low Stock",
IF(supply_chain_data4[[#This Row],[Stock_levels]]&lt;=70,"Medium Stock","High Stock"))</f>
        <v>High Stock</v>
      </c>
      <c r="AA27" t="str">
        <f>IF(supply_chain_data4[[#This Row],[Lead_time]]&lt;=10,"Short",
IF(supply_chain_data4[[#This Row],[Lead_time]]&lt;=20,"Medium","Long"))</f>
        <v>Medium</v>
      </c>
      <c r="AB27" t="str">
        <f>IF(supply_chain_data4[[#This Row],[Defect_rates]]&lt;2,"Low Defect",
IF(supply_chain_data4[[#This Row],[Defect_rates]]&lt;=4,"Medium Defect","High Defect"))</f>
        <v>Medium Defect</v>
      </c>
      <c r="AC27" s="1">
        <f>supply_chain_data4[[#This Row],[Production_volumes]]*supply_chain_data4[[#This Row],[Manufacturing_costs]]</f>
        <v>73113.877832599974</v>
      </c>
      <c r="AD27" s="1">
        <f>supply_chain_data4[[#This Row],[Order_quantities]]*supply_chain_data4[[#This Row],[Shipping_costs]]</f>
        <v>116.01583142664984</v>
      </c>
      <c r="AE27" s="1">
        <f>supply_chain_data4[[#This Row],[Revenue_generated ]]-AC27-AD27</f>
        <v>-71055.11660967597</v>
      </c>
    </row>
    <row r="28" spans="1:31" x14ac:dyDescent="0.3">
      <c r="A28" t="s">
        <v>24</v>
      </c>
      <c r="B28" t="s">
        <v>80</v>
      </c>
      <c r="C28" s="1">
        <v>97.44694661789282</v>
      </c>
      <c r="D28" s="3">
        <v>9</v>
      </c>
      <c r="E28" s="3">
        <v>353</v>
      </c>
      <c r="F28" s="5">
        <v>3716.4933258940368</v>
      </c>
      <c r="G28" t="s">
        <v>55</v>
      </c>
      <c r="H28" s="3">
        <v>59</v>
      </c>
      <c r="I28">
        <v>16</v>
      </c>
      <c r="J28" s="3">
        <v>48</v>
      </c>
      <c r="K28">
        <v>4</v>
      </c>
      <c r="L28" t="s">
        <v>27</v>
      </c>
      <c r="M28" s="1">
        <v>6.5075486210785511</v>
      </c>
      <c r="N28" t="s">
        <v>61</v>
      </c>
      <c r="O28" t="s">
        <v>53</v>
      </c>
      <c r="P28" s="3">
        <v>26</v>
      </c>
      <c r="Q28" s="3">
        <v>171</v>
      </c>
      <c r="R28" s="3">
        <v>4</v>
      </c>
      <c r="S28" s="1">
        <v>15.972229757181761</v>
      </c>
      <c r="T28" t="s">
        <v>64</v>
      </c>
      <c r="U28" s="2">
        <v>2.1193197367249228</v>
      </c>
      <c r="V28" t="s">
        <v>47</v>
      </c>
      <c r="W28" t="s">
        <v>48</v>
      </c>
      <c r="X28" s="1">
        <v>617.8669164583772</v>
      </c>
      <c r="Y28" s="1">
        <f>supply_chain_data4[[#This Row],[Revenue_generated ]]/supply_chain_data4[[#This Row],[Number_of_products sold]]</f>
        <v>10.528309705082258</v>
      </c>
      <c r="Z28" t="str">
        <f>IF(supply_chain_data4[[#This Row],[Stock_levels]]&lt;30,"Low Stock",
IF(supply_chain_data4[[#This Row],[Stock_levels]]&lt;=70,"Medium Stock","High Stock"))</f>
        <v>Medium Stock</v>
      </c>
      <c r="AA28" t="str">
        <f>IF(supply_chain_data4[[#This Row],[Lead_time]]&lt;=10,"Short",
IF(supply_chain_data4[[#This Row],[Lead_time]]&lt;=20,"Medium","Long"))</f>
        <v>Long</v>
      </c>
      <c r="AB28" t="str">
        <f>IF(supply_chain_data4[[#This Row],[Defect_rates]]&lt;2,"Low Defect",
IF(supply_chain_data4[[#This Row],[Defect_rates]]&lt;=4,"Medium Defect","High Defect"))</f>
        <v>Medium Defect</v>
      </c>
      <c r="AC28" s="1">
        <f>supply_chain_data4[[#This Row],[Production_volumes]]*supply_chain_data4[[#This Row],[Manufacturing_costs]]</f>
        <v>2731.2512884780813</v>
      </c>
      <c r="AD28" s="1">
        <f>supply_chain_data4[[#This Row],[Order_quantities]]*supply_chain_data4[[#This Row],[Shipping_costs]]</f>
        <v>312.36233381177044</v>
      </c>
      <c r="AE28" s="1">
        <f>supply_chain_data4[[#This Row],[Revenue_generated ]]-AC28-AD28</f>
        <v>672.87970360418512</v>
      </c>
    </row>
    <row r="29" spans="1:31" x14ac:dyDescent="0.3">
      <c r="A29" t="s">
        <v>57</v>
      </c>
      <c r="B29" t="s">
        <v>81</v>
      </c>
      <c r="C29" s="1">
        <v>92.557360812402024</v>
      </c>
      <c r="D29" s="3">
        <v>42</v>
      </c>
      <c r="E29" s="3">
        <v>352</v>
      </c>
      <c r="F29" s="5">
        <v>2686.4572235759833</v>
      </c>
      <c r="G29" t="s">
        <v>38</v>
      </c>
      <c r="H29" s="3">
        <v>47</v>
      </c>
      <c r="I29">
        <v>9</v>
      </c>
      <c r="J29" s="3">
        <v>62</v>
      </c>
      <c r="K29">
        <v>8</v>
      </c>
      <c r="L29" t="s">
        <v>43</v>
      </c>
      <c r="M29" s="1">
        <v>7.406750952998074</v>
      </c>
      <c r="N29" t="s">
        <v>44</v>
      </c>
      <c r="O29" t="s">
        <v>29</v>
      </c>
      <c r="P29" s="3">
        <v>25</v>
      </c>
      <c r="Q29" s="3">
        <v>291</v>
      </c>
      <c r="R29" s="3">
        <v>4</v>
      </c>
      <c r="S29" s="1">
        <v>10.528245070042162</v>
      </c>
      <c r="T29" t="s">
        <v>46</v>
      </c>
      <c r="U29" s="2">
        <v>2.8646678378833732</v>
      </c>
      <c r="V29" t="s">
        <v>56</v>
      </c>
      <c r="W29" t="s">
        <v>32</v>
      </c>
      <c r="X29" s="1">
        <v>762.45918215568372</v>
      </c>
      <c r="Y29" s="1">
        <f>supply_chain_data4[[#This Row],[Revenue_generated ]]/supply_chain_data4[[#This Row],[Number_of_products sold]]</f>
        <v>7.6319807487954074</v>
      </c>
      <c r="Z29" t="str">
        <f>IF(supply_chain_data4[[#This Row],[Stock_levels]]&lt;30,"Low Stock",
IF(supply_chain_data4[[#This Row],[Stock_levels]]&lt;=70,"Medium Stock","High Stock"))</f>
        <v>Medium Stock</v>
      </c>
      <c r="AA29" t="str">
        <f>IF(supply_chain_data4[[#This Row],[Lead_time]]&lt;=10,"Short",
IF(supply_chain_data4[[#This Row],[Lead_time]]&lt;=20,"Medium","Long"))</f>
        <v>Long</v>
      </c>
      <c r="AB29" t="str">
        <f>IF(supply_chain_data4[[#This Row],[Defect_rates]]&lt;2,"Low Defect",
IF(supply_chain_data4[[#This Row],[Defect_rates]]&lt;=4,"Medium Defect","High Defect"))</f>
        <v>Medium Defect</v>
      </c>
      <c r="AC29" s="1">
        <f>supply_chain_data4[[#This Row],[Production_volumes]]*supply_chain_data4[[#This Row],[Manufacturing_costs]]</f>
        <v>3063.7193153822691</v>
      </c>
      <c r="AD29" s="1">
        <f>supply_chain_data4[[#This Row],[Order_quantities]]*supply_chain_data4[[#This Row],[Shipping_costs]]</f>
        <v>459.2185590858806</v>
      </c>
      <c r="AE29" s="1">
        <f>supply_chain_data4[[#This Row],[Revenue_generated ]]-AC29-AD29</f>
        <v>-836.4806508921663</v>
      </c>
    </row>
    <row r="30" spans="1:31" x14ac:dyDescent="0.3">
      <c r="A30" t="s">
        <v>57</v>
      </c>
      <c r="B30" t="s">
        <v>82</v>
      </c>
      <c r="C30" s="1">
        <v>2.3972747055971411</v>
      </c>
      <c r="D30" s="3">
        <v>12</v>
      </c>
      <c r="E30" s="3">
        <v>394</v>
      </c>
      <c r="F30" s="5">
        <v>6117.3246150839923</v>
      </c>
      <c r="G30" t="s">
        <v>35</v>
      </c>
      <c r="H30" s="3">
        <v>48</v>
      </c>
      <c r="I30">
        <v>15</v>
      </c>
      <c r="J30" s="3">
        <v>24</v>
      </c>
      <c r="K30">
        <v>4</v>
      </c>
      <c r="L30" t="s">
        <v>27</v>
      </c>
      <c r="M30" s="1">
        <v>9.898140508069222</v>
      </c>
      <c r="N30" t="s">
        <v>39</v>
      </c>
      <c r="O30" t="s">
        <v>29</v>
      </c>
      <c r="P30" s="3">
        <v>13</v>
      </c>
      <c r="Q30" s="3">
        <v>171</v>
      </c>
      <c r="R30" s="3">
        <v>7</v>
      </c>
      <c r="S30" s="1">
        <v>59.429381810691567</v>
      </c>
      <c r="T30" t="s">
        <v>46</v>
      </c>
      <c r="U30" s="2">
        <v>0.81575707929567198</v>
      </c>
      <c r="V30" t="s">
        <v>40</v>
      </c>
      <c r="W30" t="s">
        <v>48</v>
      </c>
      <c r="X30" s="1">
        <v>123.43702751182708</v>
      </c>
      <c r="Y30" s="1">
        <f>supply_chain_data4[[#This Row],[Revenue_generated ]]/supply_chain_data4[[#This Row],[Number_of_products sold]]</f>
        <v>15.526204606812163</v>
      </c>
      <c r="Z30" t="str">
        <f>IF(supply_chain_data4[[#This Row],[Stock_levels]]&lt;30,"Low Stock",
IF(supply_chain_data4[[#This Row],[Stock_levels]]&lt;=70,"Medium Stock","High Stock"))</f>
        <v>Medium Stock</v>
      </c>
      <c r="AA30" t="str">
        <f>IF(supply_chain_data4[[#This Row],[Lead_time]]&lt;=10,"Short",
IF(supply_chain_data4[[#This Row],[Lead_time]]&lt;=20,"Medium","Long"))</f>
        <v>Medium</v>
      </c>
      <c r="AB30" t="str">
        <f>IF(supply_chain_data4[[#This Row],[Defect_rates]]&lt;2,"Low Defect",
IF(supply_chain_data4[[#This Row],[Defect_rates]]&lt;=4,"Medium Defect","High Defect"))</f>
        <v>Low Defect</v>
      </c>
      <c r="AC30" s="1">
        <f>supply_chain_data4[[#This Row],[Production_volumes]]*supply_chain_data4[[#This Row],[Manufacturing_costs]]</f>
        <v>10162.424289628258</v>
      </c>
      <c r="AD30" s="1">
        <f>supply_chain_data4[[#This Row],[Order_quantities]]*supply_chain_data4[[#This Row],[Shipping_costs]]</f>
        <v>237.55537219366133</v>
      </c>
      <c r="AE30" s="1">
        <f>supply_chain_data4[[#This Row],[Revenue_generated ]]-AC30-AD30</f>
        <v>-4282.6550467379266</v>
      </c>
    </row>
    <row r="31" spans="1:31" x14ac:dyDescent="0.3">
      <c r="A31" t="s">
        <v>57</v>
      </c>
      <c r="B31" t="s">
        <v>83</v>
      </c>
      <c r="C31" s="1">
        <v>63.447559185207332</v>
      </c>
      <c r="D31" s="3">
        <v>3</v>
      </c>
      <c r="E31" s="3">
        <v>253</v>
      </c>
      <c r="F31" s="5">
        <v>8318.9031946171781</v>
      </c>
      <c r="G31" t="s">
        <v>35</v>
      </c>
      <c r="H31" s="3">
        <v>45</v>
      </c>
      <c r="I31">
        <v>5</v>
      </c>
      <c r="J31" s="3">
        <v>67</v>
      </c>
      <c r="K31">
        <v>7</v>
      </c>
      <c r="L31" t="s">
        <v>27</v>
      </c>
      <c r="M31" s="1">
        <v>8.1009731453970311</v>
      </c>
      <c r="N31" t="s">
        <v>39</v>
      </c>
      <c r="O31" t="s">
        <v>45</v>
      </c>
      <c r="P31" s="3">
        <v>16</v>
      </c>
      <c r="Q31" s="3">
        <v>329</v>
      </c>
      <c r="R31" s="3">
        <v>7</v>
      </c>
      <c r="S31" s="1">
        <v>39.292875586065747</v>
      </c>
      <c r="T31" t="s">
        <v>64</v>
      </c>
      <c r="U31" s="2">
        <v>3.8780989365884881</v>
      </c>
      <c r="V31" t="s">
        <v>31</v>
      </c>
      <c r="W31" t="s">
        <v>32</v>
      </c>
      <c r="X31" s="1">
        <v>764.93537594070813</v>
      </c>
      <c r="Y31" s="1">
        <f>supply_chain_data4[[#This Row],[Revenue_generated ]]/supply_chain_data4[[#This Row],[Number_of_products sold]]</f>
        <v>32.881040294929555</v>
      </c>
      <c r="Z31" t="str">
        <f>IF(supply_chain_data4[[#This Row],[Stock_levels]]&lt;30,"Low Stock",
IF(supply_chain_data4[[#This Row],[Stock_levels]]&lt;=70,"Medium Stock","High Stock"))</f>
        <v>Medium Stock</v>
      </c>
      <c r="AA31" t="str">
        <f>IF(supply_chain_data4[[#This Row],[Lead_time]]&lt;=10,"Short",
IF(supply_chain_data4[[#This Row],[Lead_time]]&lt;=20,"Medium","Long"))</f>
        <v>Medium</v>
      </c>
      <c r="AB31" t="str">
        <f>IF(supply_chain_data4[[#This Row],[Defect_rates]]&lt;2,"Low Defect",
IF(supply_chain_data4[[#This Row],[Defect_rates]]&lt;=4,"Medium Defect","High Defect"))</f>
        <v>Medium Defect</v>
      </c>
      <c r="AC31" s="1">
        <f>supply_chain_data4[[#This Row],[Production_volumes]]*supply_chain_data4[[#This Row],[Manufacturing_costs]]</f>
        <v>12927.356067815632</v>
      </c>
      <c r="AD31" s="1">
        <f>supply_chain_data4[[#This Row],[Order_quantities]]*supply_chain_data4[[#This Row],[Shipping_costs]]</f>
        <v>542.76520074160112</v>
      </c>
      <c r="AE31" s="1">
        <f>supply_chain_data4[[#This Row],[Revenue_generated ]]-AC31-AD31</f>
        <v>-5151.2180739400546</v>
      </c>
    </row>
    <row r="32" spans="1:31" x14ac:dyDescent="0.3">
      <c r="A32" t="s">
        <v>24</v>
      </c>
      <c r="B32" t="s">
        <v>84</v>
      </c>
      <c r="C32" s="1">
        <v>8.0228592105263932</v>
      </c>
      <c r="D32" s="3">
        <v>10</v>
      </c>
      <c r="E32" s="3">
        <v>327</v>
      </c>
      <c r="F32" s="5">
        <v>2766.3423668660889</v>
      </c>
      <c r="G32" t="s">
        <v>55</v>
      </c>
      <c r="H32" s="3">
        <v>60</v>
      </c>
      <c r="I32">
        <v>26</v>
      </c>
      <c r="J32" s="3">
        <v>35</v>
      </c>
      <c r="K32">
        <v>7</v>
      </c>
      <c r="L32" t="s">
        <v>27</v>
      </c>
      <c r="M32" s="1">
        <v>8.9545283153180151</v>
      </c>
      <c r="N32" t="s">
        <v>52</v>
      </c>
      <c r="O32" t="s">
        <v>45</v>
      </c>
      <c r="P32" s="3">
        <v>27</v>
      </c>
      <c r="Q32" s="3">
        <v>806</v>
      </c>
      <c r="R32" s="3">
        <v>30</v>
      </c>
      <c r="S32" s="1">
        <v>51.634893400109334</v>
      </c>
      <c r="T32" t="s">
        <v>30</v>
      </c>
      <c r="U32" s="2">
        <v>0.96539470535239313</v>
      </c>
      <c r="V32" t="s">
        <v>31</v>
      </c>
      <c r="W32" t="s">
        <v>41</v>
      </c>
      <c r="X32" s="1">
        <v>880.08098824716103</v>
      </c>
      <c r="Y32" s="1">
        <f>supply_chain_data4[[#This Row],[Revenue_generated ]]/supply_chain_data4[[#This Row],[Number_of_products sold]]</f>
        <v>8.4597625898045532</v>
      </c>
      <c r="Z32" t="str">
        <f>IF(supply_chain_data4[[#This Row],[Stock_levels]]&lt;30,"Low Stock",
IF(supply_chain_data4[[#This Row],[Stock_levels]]&lt;=70,"Medium Stock","High Stock"))</f>
        <v>Medium Stock</v>
      </c>
      <c r="AA32" t="str">
        <f>IF(supply_chain_data4[[#This Row],[Lead_time]]&lt;=10,"Short",
IF(supply_chain_data4[[#This Row],[Lead_time]]&lt;=20,"Medium","Long"))</f>
        <v>Long</v>
      </c>
      <c r="AB32" t="str">
        <f>IF(supply_chain_data4[[#This Row],[Defect_rates]]&lt;2,"Low Defect",
IF(supply_chain_data4[[#This Row],[Defect_rates]]&lt;=4,"Medium Defect","High Defect"))</f>
        <v>Low Defect</v>
      </c>
      <c r="AC32" s="1">
        <f>supply_chain_data4[[#This Row],[Production_volumes]]*supply_chain_data4[[#This Row],[Manufacturing_costs]]</f>
        <v>41617.724080488122</v>
      </c>
      <c r="AD32" s="1">
        <f>supply_chain_data4[[#This Row],[Order_quantities]]*supply_chain_data4[[#This Row],[Shipping_costs]]</f>
        <v>313.4084910361305</v>
      </c>
      <c r="AE32" s="1">
        <f>supply_chain_data4[[#This Row],[Revenue_generated ]]-AC32-AD32</f>
        <v>-39164.790204658158</v>
      </c>
    </row>
    <row r="33" spans="1:31" x14ac:dyDescent="0.3">
      <c r="A33" t="s">
        <v>33</v>
      </c>
      <c r="B33" t="s">
        <v>85</v>
      </c>
      <c r="C33" s="1">
        <v>50.847393051718697</v>
      </c>
      <c r="D33" s="3">
        <v>28</v>
      </c>
      <c r="E33" s="3">
        <v>168</v>
      </c>
      <c r="F33" s="5">
        <v>9655.1351027193978</v>
      </c>
      <c r="G33" t="s">
        <v>55</v>
      </c>
      <c r="H33" s="3">
        <v>6</v>
      </c>
      <c r="I33">
        <v>17</v>
      </c>
      <c r="J33" s="3">
        <v>44</v>
      </c>
      <c r="K33">
        <v>4</v>
      </c>
      <c r="L33" t="s">
        <v>27</v>
      </c>
      <c r="M33" s="1">
        <v>2.6796609649814065</v>
      </c>
      <c r="N33" t="s">
        <v>28</v>
      </c>
      <c r="O33" t="s">
        <v>62</v>
      </c>
      <c r="P33" s="3">
        <v>24</v>
      </c>
      <c r="Q33" s="3">
        <v>461</v>
      </c>
      <c r="R33" s="3">
        <v>8</v>
      </c>
      <c r="S33" s="1">
        <v>60.25114566159808</v>
      </c>
      <c r="T33" t="s">
        <v>30</v>
      </c>
      <c r="U33" s="2">
        <v>2.9890000066550746</v>
      </c>
      <c r="V33" t="s">
        <v>47</v>
      </c>
      <c r="W33" t="s">
        <v>41</v>
      </c>
      <c r="X33" s="1">
        <v>609.37920661842668</v>
      </c>
      <c r="Y33" s="1">
        <f>supply_chain_data4[[#This Row],[Revenue_generated ]]/supply_chain_data4[[#This Row],[Number_of_products sold]]</f>
        <v>57.471042278091652</v>
      </c>
      <c r="Z33" t="str">
        <f>IF(supply_chain_data4[[#This Row],[Stock_levels]]&lt;30,"Low Stock",
IF(supply_chain_data4[[#This Row],[Stock_levels]]&lt;=70,"Medium Stock","High Stock"))</f>
        <v>Low Stock</v>
      </c>
      <c r="AA33" t="str">
        <f>IF(supply_chain_data4[[#This Row],[Lead_time]]&lt;=10,"Short",
IF(supply_chain_data4[[#This Row],[Lead_time]]&lt;=20,"Medium","Long"))</f>
        <v>Long</v>
      </c>
      <c r="AB33" t="str">
        <f>IF(supply_chain_data4[[#This Row],[Defect_rates]]&lt;2,"Low Defect",
IF(supply_chain_data4[[#This Row],[Defect_rates]]&lt;=4,"Medium Defect","High Defect"))</f>
        <v>Medium Defect</v>
      </c>
      <c r="AC33" s="1">
        <f>supply_chain_data4[[#This Row],[Production_volumes]]*supply_chain_data4[[#This Row],[Manufacturing_costs]]</f>
        <v>27775.778149996717</v>
      </c>
      <c r="AD33" s="1">
        <f>supply_chain_data4[[#This Row],[Order_quantities]]*supply_chain_data4[[#This Row],[Shipping_costs]]</f>
        <v>117.90508245918188</v>
      </c>
      <c r="AE33" s="1">
        <f>supply_chain_data4[[#This Row],[Revenue_generated ]]-AC33-AD33</f>
        <v>-18238.548129736504</v>
      </c>
    </row>
    <row r="34" spans="1:31" x14ac:dyDescent="0.3">
      <c r="A34" t="s">
        <v>33</v>
      </c>
      <c r="B34" t="s">
        <v>86</v>
      </c>
      <c r="C34" s="1">
        <v>79.209936015656723</v>
      </c>
      <c r="D34" s="3">
        <v>43</v>
      </c>
      <c r="E34" s="3">
        <v>781</v>
      </c>
      <c r="F34" s="5">
        <v>9571.5504873278187</v>
      </c>
      <c r="G34" t="s">
        <v>38</v>
      </c>
      <c r="H34" s="3">
        <v>89</v>
      </c>
      <c r="I34">
        <v>13</v>
      </c>
      <c r="J34" s="3">
        <v>64</v>
      </c>
      <c r="K34">
        <v>4</v>
      </c>
      <c r="L34" t="s">
        <v>43</v>
      </c>
      <c r="M34" s="1">
        <v>6.5991049012385838</v>
      </c>
      <c r="N34" t="s">
        <v>28</v>
      </c>
      <c r="O34" t="s">
        <v>45</v>
      </c>
      <c r="P34" s="3">
        <v>30</v>
      </c>
      <c r="Q34" s="3">
        <v>737</v>
      </c>
      <c r="R34" s="3">
        <v>7</v>
      </c>
      <c r="S34" s="1">
        <v>29.692467153749774</v>
      </c>
      <c r="T34" t="s">
        <v>64</v>
      </c>
      <c r="U34" s="2">
        <v>1.9460361193861131</v>
      </c>
      <c r="V34" t="s">
        <v>31</v>
      </c>
      <c r="W34" t="s">
        <v>48</v>
      </c>
      <c r="X34" s="1">
        <v>761.17390951487755</v>
      </c>
      <c r="Y34" s="1">
        <f>supply_chain_data4[[#This Row],[Revenue_generated ]]/supply_chain_data4[[#This Row],[Number_of_products sold]]</f>
        <v>12.255506385823072</v>
      </c>
      <c r="Z34" t="str">
        <f>IF(supply_chain_data4[[#This Row],[Stock_levels]]&lt;30,"Low Stock",
IF(supply_chain_data4[[#This Row],[Stock_levels]]&lt;=70,"Medium Stock","High Stock"))</f>
        <v>High Stock</v>
      </c>
      <c r="AA34" t="str">
        <f>IF(supply_chain_data4[[#This Row],[Lead_time]]&lt;=10,"Short",
IF(supply_chain_data4[[#This Row],[Lead_time]]&lt;=20,"Medium","Long"))</f>
        <v>Long</v>
      </c>
      <c r="AB34" t="str">
        <f>IF(supply_chain_data4[[#This Row],[Defect_rates]]&lt;2,"Low Defect",
IF(supply_chain_data4[[#This Row],[Defect_rates]]&lt;=4,"Medium Defect","High Defect"))</f>
        <v>Low Defect</v>
      </c>
      <c r="AC34" s="1">
        <f>supply_chain_data4[[#This Row],[Production_volumes]]*supply_chain_data4[[#This Row],[Manufacturing_costs]]</f>
        <v>21883.348292313585</v>
      </c>
      <c r="AD34" s="1">
        <f>supply_chain_data4[[#This Row],[Order_quantities]]*supply_chain_data4[[#This Row],[Shipping_costs]]</f>
        <v>422.34271367926937</v>
      </c>
      <c r="AE34" s="1">
        <f>supply_chain_data4[[#This Row],[Revenue_generated ]]-AC34-AD34</f>
        <v>-12734.140518665035</v>
      </c>
    </row>
    <row r="35" spans="1:31" x14ac:dyDescent="0.3">
      <c r="A35" t="s">
        <v>57</v>
      </c>
      <c r="B35" t="s">
        <v>87</v>
      </c>
      <c r="C35" s="1">
        <v>64.795435000155607</v>
      </c>
      <c r="D35" s="3">
        <v>63</v>
      </c>
      <c r="E35" s="3">
        <v>616</v>
      </c>
      <c r="F35" s="5">
        <v>5149.9983504080365</v>
      </c>
      <c r="G35" t="s">
        <v>26</v>
      </c>
      <c r="H35" s="3">
        <v>4</v>
      </c>
      <c r="I35">
        <v>17</v>
      </c>
      <c r="J35" s="3">
        <v>95</v>
      </c>
      <c r="K35">
        <v>9</v>
      </c>
      <c r="L35" t="s">
        <v>43</v>
      </c>
      <c r="M35" s="1">
        <v>4.85827050343664</v>
      </c>
      <c r="N35" t="s">
        <v>44</v>
      </c>
      <c r="O35" t="s">
        <v>62</v>
      </c>
      <c r="P35" s="3">
        <v>1</v>
      </c>
      <c r="Q35" s="3">
        <v>251</v>
      </c>
      <c r="R35" s="3">
        <v>23</v>
      </c>
      <c r="S35" s="1">
        <v>23.853427512896133</v>
      </c>
      <c r="T35" t="s">
        <v>46</v>
      </c>
      <c r="U35" s="2">
        <v>3.5410460122509231</v>
      </c>
      <c r="V35" t="s">
        <v>56</v>
      </c>
      <c r="W35" t="s">
        <v>48</v>
      </c>
      <c r="X35" s="1">
        <v>371.25529551987103</v>
      </c>
      <c r="Y35" s="1">
        <f>supply_chain_data4[[#This Row],[Revenue_generated ]]/supply_chain_data4[[#This Row],[Number_of_products sold]]</f>
        <v>8.3603869324805782</v>
      </c>
      <c r="Z35" t="str">
        <f>IF(supply_chain_data4[[#This Row],[Stock_levels]]&lt;30,"Low Stock",
IF(supply_chain_data4[[#This Row],[Stock_levels]]&lt;=70,"Medium Stock","High Stock"))</f>
        <v>Low Stock</v>
      </c>
      <c r="AA35" t="str">
        <f>IF(supply_chain_data4[[#This Row],[Lead_time]]&lt;=10,"Short",
IF(supply_chain_data4[[#This Row],[Lead_time]]&lt;=20,"Medium","Long"))</f>
        <v>Short</v>
      </c>
      <c r="AB35" t="str">
        <f>IF(supply_chain_data4[[#This Row],[Defect_rates]]&lt;2,"Low Defect",
IF(supply_chain_data4[[#This Row],[Defect_rates]]&lt;=4,"Medium Defect","High Defect"))</f>
        <v>Medium Defect</v>
      </c>
      <c r="AC35" s="1">
        <f>supply_chain_data4[[#This Row],[Production_volumes]]*supply_chain_data4[[#This Row],[Manufacturing_costs]]</f>
        <v>5987.2103057369295</v>
      </c>
      <c r="AD35" s="1">
        <f>supply_chain_data4[[#This Row],[Order_quantities]]*supply_chain_data4[[#This Row],[Shipping_costs]]</f>
        <v>461.53569782648083</v>
      </c>
      <c r="AE35" s="1">
        <f>supply_chain_data4[[#This Row],[Revenue_generated ]]-AC35-AD35</f>
        <v>-1298.7476531553739</v>
      </c>
    </row>
    <row r="36" spans="1:31" x14ac:dyDescent="0.3">
      <c r="A36" t="s">
        <v>33</v>
      </c>
      <c r="B36" t="s">
        <v>88</v>
      </c>
      <c r="C36" s="1">
        <v>37.467592329842461</v>
      </c>
      <c r="D36" s="3">
        <v>96</v>
      </c>
      <c r="E36" s="3">
        <v>602</v>
      </c>
      <c r="F36" s="5">
        <v>9061.7108955077238</v>
      </c>
      <c r="G36" t="s">
        <v>38</v>
      </c>
      <c r="H36" s="3">
        <v>1</v>
      </c>
      <c r="I36">
        <v>26</v>
      </c>
      <c r="J36" s="3">
        <v>21</v>
      </c>
      <c r="K36">
        <v>7</v>
      </c>
      <c r="L36" t="s">
        <v>36</v>
      </c>
      <c r="M36" s="1">
        <v>1.0194875708221189</v>
      </c>
      <c r="N36" t="s">
        <v>39</v>
      </c>
      <c r="O36" t="s">
        <v>62</v>
      </c>
      <c r="P36" s="3">
        <v>4</v>
      </c>
      <c r="Q36" s="3">
        <v>452</v>
      </c>
      <c r="R36" s="3">
        <v>10</v>
      </c>
      <c r="S36" s="1">
        <v>10.754272815029333</v>
      </c>
      <c r="T36" t="s">
        <v>64</v>
      </c>
      <c r="U36" s="2">
        <v>0.64660455937205485</v>
      </c>
      <c r="V36" t="s">
        <v>31</v>
      </c>
      <c r="W36" t="s">
        <v>32</v>
      </c>
      <c r="X36" s="1">
        <v>510.3580004335235</v>
      </c>
      <c r="Y36" s="1">
        <f>supply_chain_data4[[#This Row],[Revenue_generated ]]/supply_chain_data4[[#This Row],[Number_of_products sold]]</f>
        <v>15.05267590615901</v>
      </c>
      <c r="Z36" t="str">
        <f>IF(supply_chain_data4[[#This Row],[Stock_levels]]&lt;30,"Low Stock",
IF(supply_chain_data4[[#This Row],[Stock_levels]]&lt;=70,"Medium Stock","High Stock"))</f>
        <v>Low Stock</v>
      </c>
      <c r="AA36" t="str">
        <f>IF(supply_chain_data4[[#This Row],[Lead_time]]&lt;=10,"Short",
IF(supply_chain_data4[[#This Row],[Lead_time]]&lt;=20,"Medium","Long"))</f>
        <v>Short</v>
      </c>
      <c r="AB36" t="str">
        <f>IF(supply_chain_data4[[#This Row],[Defect_rates]]&lt;2,"Low Defect",
IF(supply_chain_data4[[#This Row],[Defect_rates]]&lt;=4,"Medium Defect","High Defect"))</f>
        <v>Low Defect</v>
      </c>
      <c r="AC36" s="1">
        <f>supply_chain_data4[[#This Row],[Production_volumes]]*supply_chain_data4[[#This Row],[Manufacturing_costs]]</f>
        <v>4860.9313123932588</v>
      </c>
      <c r="AD36" s="1">
        <f>supply_chain_data4[[#This Row],[Order_quantities]]*supply_chain_data4[[#This Row],[Shipping_costs]]</f>
        <v>21.409238987264498</v>
      </c>
      <c r="AE36" s="1">
        <f>supply_chain_data4[[#This Row],[Revenue_generated ]]-AC36-AD36</f>
        <v>4179.3703441272</v>
      </c>
    </row>
    <row r="37" spans="1:31" x14ac:dyDescent="0.3">
      <c r="A37" t="s">
        <v>57</v>
      </c>
      <c r="B37" t="s">
        <v>89</v>
      </c>
      <c r="C37" s="1">
        <v>84.957786816350435</v>
      </c>
      <c r="D37" s="3">
        <v>11</v>
      </c>
      <c r="E37" s="3">
        <v>449</v>
      </c>
      <c r="F37" s="5">
        <v>6541.3293448024651</v>
      </c>
      <c r="G37" t="s">
        <v>35</v>
      </c>
      <c r="H37" s="3">
        <v>42</v>
      </c>
      <c r="I37">
        <v>27</v>
      </c>
      <c r="J37" s="3">
        <v>85</v>
      </c>
      <c r="K37">
        <v>8</v>
      </c>
      <c r="L37" t="s">
        <v>43</v>
      </c>
      <c r="M37" s="1">
        <v>5.2881899903274094</v>
      </c>
      <c r="N37" t="s">
        <v>39</v>
      </c>
      <c r="O37" t="s">
        <v>50</v>
      </c>
      <c r="P37" s="3">
        <v>3</v>
      </c>
      <c r="Q37" s="3">
        <v>367</v>
      </c>
      <c r="R37" s="3">
        <v>2</v>
      </c>
      <c r="S37" s="1">
        <v>58.004787044743765</v>
      </c>
      <c r="T37" t="s">
        <v>64</v>
      </c>
      <c r="U37" s="2">
        <v>0.54115409806058112</v>
      </c>
      <c r="V37" t="s">
        <v>56</v>
      </c>
      <c r="W37" t="s">
        <v>41</v>
      </c>
      <c r="X37" s="1">
        <v>553.42047123035582</v>
      </c>
      <c r="Y37" s="1">
        <f>supply_chain_data4[[#This Row],[Revenue_generated ]]/supply_chain_data4[[#This Row],[Number_of_products sold]]</f>
        <v>14.568662237867406</v>
      </c>
      <c r="Z37" t="str">
        <f>IF(supply_chain_data4[[#This Row],[Stock_levels]]&lt;30,"Low Stock",
IF(supply_chain_data4[[#This Row],[Stock_levels]]&lt;=70,"Medium Stock","High Stock"))</f>
        <v>Medium Stock</v>
      </c>
      <c r="AA37" t="str">
        <f>IF(supply_chain_data4[[#This Row],[Lead_time]]&lt;=10,"Short",
IF(supply_chain_data4[[#This Row],[Lead_time]]&lt;=20,"Medium","Long"))</f>
        <v>Short</v>
      </c>
      <c r="AB37" t="str">
        <f>IF(supply_chain_data4[[#This Row],[Defect_rates]]&lt;2,"Low Defect",
IF(supply_chain_data4[[#This Row],[Defect_rates]]&lt;=4,"Medium Defect","High Defect"))</f>
        <v>Low Defect</v>
      </c>
      <c r="AC37" s="1">
        <f>supply_chain_data4[[#This Row],[Production_volumes]]*supply_chain_data4[[#This Row],[Manufacturing_costs]]</f>
        <v>21287.756845420961</v>
      </c>
      <c r="AD37" s="1">
        <f>supply_chain_data4[[#This Row],[Order_quantities]]*supply_chain_data4[[#This Row],[Shipping_costs]]</f>
        <v>449.49614917782981</v>
      </c>
      <c r="AE37" s="1">
        <f>supply_chain_data4[[#This Row],[Revenue_generated ]]-AC37-AD37</f>
        <v>-15195.923649796327</v>
      </c>
    </row>
    <row r="38" spans="1:31" x14ac:dyDescent="0.3">
      <c r="A38" t="s">
        <v>33</v>
      </c>
      <c r="B38" t="s">
        <v>90</v>
      </c>
      <c r="C38" s="1">
        <v>9.8130025787540518</v>
      </c>
      <c r="D38" s="3">
        <v>34</v>
      </c>
      <c r="E38" s="3">
        <v>963</v>
      </c>
      <c r="F38" s="5">
        <v>7573.4024578487333</v>
      </c>
      <c r="G38" t="s">
        <v>35</v>
      </c>
      <c r="H38" s="3">
        <v>18</v>
      </c>
      <c r="I38">
        <v>23</v>
      </c>
      <c r="J38" s="3">
        <v>28</v>
      </c>
      <c r="K38">
        <v>3</v>
      </c>
      <c r="L38" t="s">
        <v>27</v>
      </c>
      <c r="M38" s="1">
        <v>2.107951267159081</v>
      </c>
      <c r="N38" t="s">
        <v>61</v>
      </c>
      <c r="O38" t="s">
        <v>50</v>
      </c>
      <c r="P38" s="3">
        <v>26</v>
      </c>
      <c r="Q38" s="3">
        <v>671</v>
      </c>
      <c r="R38" s="3">
        <v>19</v>
      </c>
      <c r="S38" s="1">
        <v>45.531364237162144</v>
      </c>
      <c r="T38" t="s">
        <v>46</v>
      </c>
      <c r="U38" s="2">
        <v>3.8055333792433537</v>
      </c>
      <c r="V38" t="s">
        <v>40</v>
      </c>
      <c r="W38" t="s">
        <v>41</v>
      </c>
      <c r="X38" s="1">
        <v>403.8089742481805</v>
      </c>
      <c r="Y38" s="1">
        <f>supply_chain_data4[[#This Row],[Revenue_generated ]]/supply_chain_data4[[#This Row],[Number_of_products sold]]</f>
        <v>7.8643846914317068</v>
      </c>
      <c r="Z38" t="str">
        <f>IF(supply_chain_data4[[#This Row],[Stock_levels]]&lt;30,"Low Stock",
IF(supply_chain_data4[[#This Row],[Stock_levels]]&lt;=70,"Medium Stock","High Stock"))</f>
        <v>Low Stock</v>
      </c>
      <c r="AA38" t="str">
        <f>IF(supply_chain_data4[[#This Row],[Lead_time]]&lt;=10,"Short",
IF(supply_chain_data4[[#This Row],[Lead_time]]&lt;=20,"Medium","Long"))</f>
        <v>Long</v>
      </c>
      <c r="AB38" t="str">
        <f>IF(supply_chain_data4[[#This Row],[Defect_rates]]&lt;2,"Low Defect",
IF(supply_chain_data4[[#This Row],[Defect_rates]]&lt;=4,"Medium Defect","High Defect"))</f>
        <v>Medium Defect</v>
      </c>
      <c r="AC38" s="1">
        <f>supply_chain_data4[[#This Row],[Production_volumes]]*supply_chain_data4[[#This Row],[Manufacturing_costs]]</f>
        <v>30551.545403135799</v>
      </c>
      <c r="AD38" s="1">
        <f>supply_chain_data4[[#This Row],[Order_quantities]]*supply_chain_data4[[#This Row],[Shipping_costs]]</f>
        <v>59.022635480454269</v>
      </c>
      <c r="AE38" s="1">
        <f>supply_chain_data4[[#This Row],[Revenue_generated ]]-AC38-AD38</f>
        <v>-23037.16558076752</v>
      </c>
    </row>
    <row r="39" spans="1:31" x14ac:dyDescent="0.3">
      <c r="A39" t="s">
        <v>33</v>
      </c>
      <c r="B39" t="s">
        <v>91</v>
      </c>
      <c r="C39" s="1">
        <v>23.399844752614349</v>
      </c>
      <c r="D39" s="3">
        <v>5</v>
      </c>
      <c r="E39" s="3">
        <v>963</v>
      </c>
      <c r="F39" s="5">
        <v>2438.3399304700288</v>
      </c>
      <c r="G39" t="s">
        <v>35</v>
      </c>
      <c r="H39" s="3">
        <v>25</v>
      </c>
      <c r="I39">
        <v>8</v>
      </c>
      <c r="J39" s="3">
        <v>21</v>
      </c>
      <c r="K39">
        <v>9</v>
      </c>
      <c r="L39" t="s">
        <v>36</v>
      </c>
      <c r="M39" s="1">
        <v>1.5326552735904306</v>
      </c>
      <c r="N39" t="s">
        <v>28</v>
      </c>
      <c r="O39" t="s">
        <v>45</v>
      </c>
      <c r="P39" s="3">
        <v>24</v>
      </c>
      <c r="Q39" s="3">
        <v>867</v>
      </c>
      <c r="R39" s="3">
        <v>15</v>
      </c>
      <c r="S39" s="1">
        <v>34.343277465075381</v>
      </c>
      <c r="T39" t="s">
        <v>30</v>
      </c>
      <c r="U39" s="2">
        <v>2.6102880848481131</v>
      </c>
      <c r="V39" t="s">
        <v>56</v>
      </c>
      <c r="W39" t="s">
        <v>48</v>
      </c>
      <c r="X39" s="1">
        <v>183.93296804359437</v>
      </c>
      <c r="Y39" s="1">
        <f>supply_chain_data4[[#This Row],[Revenue_generated ]]/supply_chain_data4[[#This Row],[Number_of_products sold]]</f>
        <v>2.5320248499169562</v>
      </c>
      <c r="Z39" t="str">
        <f>IF(supply_chain_data4[[#This Row],[Stock_levels]]&lt;30,"Low Stock",
IF(supply_chain_data4[[#This Row],[Stock_levels]]&lt;=70,"Medium Stock","High Stock"))</f>
        <v>Low Stock</v>
      </c>
      <c r="AA39" t="str">
        <f>IF(supply_chain_data4[[#This Row],[Lead_time]]&lt;=10,"Short",
IF(supply_chain_data4[[#This Row],[Lead_time]]&lt;=20,"Medium","Long"))</f>
        <v>Long</v>
      </c>
      <c r="AB39" t="str">
        <f>IF(supply_chain_data4[[#This Row],[Defect_rates]]&lt;2,"Low Defect",
IF(supply_chain_data4[[#This Row],[Defect_rates]]&lt;=4,"Medium Defect","High Defect"))</f>
        <v>Medium Defect</v>
      </c>
      <c r="AC39" s="1">
        <f>supply_chain_data4[[#This Row],[Production_volumes]]*supply_chain_data4[[#This Row],[Manufacturing_costs]]</f>
        <v>29775.621562220356</v>
      </c>
      <c r="AD39" s="1">
        <f>supply_chain_data4[[#This Row],[Order_quantities]]*supply_chain_data4[[#This Row],[Shipping_costs]]</f>
        <v>32.185760745399044</v>
      </c>
      <c r="AE39" s="1">
        <f>supply_chain_data4[[#This Row],[Revenue_generated ]]-AC39-AD39</f>
        <v>-27369.467392495728</v>
      </c>
    </row>
    <row r="40" spans="1:31" x14ac:dyDescent="0.3">
      <c r="A40" t="s">
        <v>57</v>
      </c>
      <c r="B40" t="s">
        <v>92</v>
      </c>
      <c r="C40" s="1">
        <v>52.075930682707799</v>
      </c>
      <c r="D40" s="3">
        <v>75</v>
      </c>
      <c r="E40" s="3">
        <v>705</v>
      </c>
      <c r="F40" s="5">
        <v>9692.3180402184316</v>
      </c>
      <c r="G40" t="s">
        <v>26</v>
      </c>
      <c r="H40" s="3">
        <v>69</v>
      </c>
      <c r="I40">
        <v>1</v>
      </c>
      <c r="J40" s="3">
        <v>88</v>
      </c>
      <c r="K40">
        <v>5</v>
      </c>
      <c r="L40" t="s">
        <v>27</v>
      </c>
      <c r="M40" s="1">
        <v>9.2359314372492278</v>
      </c>
      <c r="N40" t="s">
        <v>44</v>
      </c>
      <c r="O40" t="s">
        <v>29</v>
      </c>
      <c r="P40" s="3">
        <v>10</v>
      </c>
      <c r="Q40" s="3">
        <v>841</v>
      </c>
      <c r="R40" s="3">
        <v>12</v>
      </c>
      <c r="S40" s="1">
        <v>5.9306936455283177</v>
      </c>
      <c r="T40" t="s">
        <v>30</v>
      </c>
      <c r="U40" s="2">
        <v>0.61332689916450744</v>
      </c>
      <c r="V40" t="s">
        <v>40</v>
      </c>
      <c r="W40" t="s">
        <v>32</v>
      </c>
      <c r="X40" s="1">
        <v>339.67286994860615</v>
      </c>
      <c r="Y40" s="1">
        <f>supply_chain_data4[[#This Row],[Revenue_generated ]]/supply_chain_data4[[#This Row],[Number_of_products sold]]</f>
        <v>13.747968851373662</v>
      </c>
      <c r="Z40" t="str">
        <f>IF(supply_chain_data4[[#This Row],[Stock_levels]]&lt;30,"Low Stock",
IF(supply_chain_data4[[#This Row],[Stock_levels]]&lt;=70,"Medium Stock","High Stock"))</f>
        <v>Medium Stock</v>
      </c>
      <c r="AA40" t="str">
        <f>IF(supply_chain_data4[[#This Row],[Lead_time]]&lt;=10,"Short",
IF(supply_chain_data4[[#This Row],[Lead_time]]&lt;=20,"Medium","Long"))</f>
        <v>Short</v>
      </c>
      <c r="AB40" t="str">
        <f>IF(supply_chain_data4[[#This Row],[Defect_rates]]&lt;2,"Low Defect",
IF(supply_chain_data4[[#This Row],[Defect_rates]]&lt;=4,"Medium Defect","High Defect"))</f>
        <v>Low Defect</v>
      </c>
      <c r="AC40" s="1">
        <f>supply_chain_data4[[#This Row],[Production_volumes]]*supply_chain_data4[[#This Row],[Manufacturing_costs]]</f>
        <v>4987.7133558893156</v>
      </c>
      <c r="AD40" s="1">
        <f>supply_chain_data4[[#This Row],[Order_quantities]]*supply_chain_data4[[#This Row],[Shipping_costs]]</f>
        <v>812.76196647793199</v>
      </c>
      <c r="AE40" s="1">
        <f>supply_chain_data4[[#This Row],[Revenue_generated ]]-AC40-AD40</f>
        <v>3891.8427178511838</v>
      </c>
    </row>
    <row r="41" spans="1:31" x14ac:dyDescent="0.3">
      <c r="A41" t="s">
        <v>33</v>
      </c>
      <c r="B41" t="s">
        <v>93</v>
      </c>
      <c r="C41" s="1">
        <v>19.127477265823256</v>
      </c>
      <c r="D41" s="3">
        <v>26</v>
      </c>
      <c r="E41" s="3">
        <v>176</v>
      </c>
      <c r="F41" s="5">
        <v>1912.4656631007608</v>
      </c>
      <c r="G41" t="s">
        <v>35</v>
      </c>
      <c r="H41" s="3">
        <v>78</v>
      </c>
      <c r="I41">
        <v>29</v>
      </c>
      <c r="J41" s="3">
        <v>34</v>
      </c>
      <c r="K41">
        <v>3</v>
      </c>
      <c r="L41" t="s">
        <v>36</v>
      </c>
      <c r="M41" s="1">
        <v>5.5625037788303837</v>
      </c>
      <c r="N41" t="s">
        <v>61</v>
      </c>
      <c r="O41" t="s">
        <v>45</v>
      </c>
      <c r="P41" s="3">
        <v>30</v>
      </c>
      <c r="Q41" s="3">
        <v>791</v>
      </c>
      <c r="R41" s="3">
        <v>6</v>
      </c>
      <c r="S41" s="1">
        <v>9.0058074287816421</v>
      </c>
      <c r="T41" t="s">
        <v>46</v>
      </c>
      <c r="U41" s="2">
        <v>1.4519722039968159</v>
      </c>
      <c r="V41" t="s">
        <v>40</v>
      </c>
      <c r="W41" t="s">
        <v>32</v>
      </c>
      <c r="X41" s="1">
        <v>653.67299455203317</v>
      </c>
      <c r="Y41" s="1">
        <f>supply_chain_data4[[#This Row],[Revenue_generated ]]/supply_chain_data4[[#This Row],[Number_of_products sold]]</f>
        <v>10.866282176708868</v>
      </c>
      <c r="Z41" t="str">
        <f>IF(supply_chain_data4[[#This Row],[Stock_levels]]&lt;30,"Low Stock",
IF(supply_chain_data4[[#This Row],[Stock_levels]]&lt;=70,"Medium Stock","High Stock"))</f>
        <v>High Stock</v>
      </c>
      <c r="AA41" t="str">
        <f>IF(supply_chain_data4[[#This Row],[Lead_time]]&lt;=10,"Short",
IF(supply_chain_data4[[#This Row],[Lead_time]]&lt;=20,"Medium","Long"))</f>
        <v>Long</v>
      </c>
      <c r="AB41" t="str">
        <f>IF(supply_chain_data4[[#This Row],[Defect_rates]]&lt;2,"Low Defect",
IF(supply_chain_data4[[#This Row],[Defect_rates]]&lt;=4,"Medium Defect","High Defect"))</f>
        <v>Low Defect</v>
      </c>
      <c r="AC41" s="1">
        <f>supply_chain_data4[[#This Row],[Production_volumes]]*supply_chain_data4[[#This Row],[Manufacturing_costs]]</f>
        <v>7123.5936761662788</v>
      </c>
      <c r="AD41" s="1">
        <f>supply_chain_data4[[#This Row],[Order_quantities]]*supply_chain_data4[[#This Row],[Shipping_costs]]</f>
        <v>189.12512848023306</v>
      </c>
      <c r="AE41" s="1">
        <f>supply_chain_data4[[#This Row],[Revenue_generated ]]-AC41-AD41</f>
        <v>-5400.2531415457506</v>
      </c>
    </row>
    <row r="42" spans="1:31" x14ac:dyDescent="0.3">
      <c r="A42" t="s">
        <v>33</v>
      </c>
      <c r="B42" t="s">
        <v>94</v>
      </c>
      <c r="C42" s="1">
        <v>80.541424170940331</v>
      </c>
      <c r="D42" s="3">
        <v>97</v>
      </c>
      <c r="E42" s="3">
        <v>933</v>
      </c>
      <c r="F42" s="5">
        <v>5724.9593504562654</v>
      </c>
      <c r="G42" t="s">
        <v>35</v>
      </c>
      <c r="H42" s="3">
        <v>90</v>
      </c>
      <c r="I42">
        <v>20</v>
      </c>
      <c r="J42" s="3">
        <v>39</v>
      </c>
      <c r="K42">
        <v>8</v>
      </c>
      <c r="L42" t="s">
        <v>43</v>
      </c>
      <c r="M42" s="1">
        <v>7.2295951397364737</v>
      </c>
      <c r="N42" t="s">
        <v>39</v>
      </c>
      <c r="O42" t="s">
        <v>45</v>
      </c>
      <c r="P42" s="3">
        <v>18</v>
      </c>
      <c r="Q42" s="3">
        <v>793</v>
      </c>
      <c r="R42" s="3">
        <v>1</v>
      </c>
      <c r="S42" s="1">
        <v>88.179407104217461</v>
      </c>
      <c r="T42" t="s">
        <v>30</v>
      </c>
      <c r="U42" s="2">
        <v>4.2132694305865659</v>
      </c>
      <c r="V42" t="s">
        <v>31</v>
      </c>
      <c r="W42" t="s">
        <v>48</v>
      </c>
      <c r="X42" s="1">
        <v>529.80872398069187</v>
      </c>
      <c r="Y42" s="1">
        <f>supply_chain_data4[[#This Row],[Revenue_generated ]]/supply_chain_data4[[#This Row],[Number_of_products sold]]</f>
        <v>6.1360764742296521</v>
      </c>
      <c r="Z42" t="str">
        <f>IF(supply_chain_data4[[#This Row],[Stock_levels]]&lt;30,"Low Stock",
IF(supply_chain_data4[[#This Row],[Stock_levels]]&lt;=70,"Medium Stock","High Stock"))</f>
        <v>High Stock</v>
      </c>
      <c r="AA42" t="str">
        <f>IF(supply_chain_data4[[#This Row],[Lead_time]]&lt;=10,"Short",
IF(supply_chain_data4[[#This Row],[Lead_time]]&lt;=20,"Medium","Long"))</f>
        <v>Medium</v>
      </c>
      <c r="AB42" t="str">
        <f>IF(supply_chain_data4[[#This Row],[Defect_rates]]&lt;2,"Low Defect",
IF(supply_chain_data4[[#This Row],[Defect_rates]]&lt;=4,"Medium Defect","High Defect"))</f>
        <v>High Defect</v>
      </c>
      <c r="AC42" s="1">
        <f>supply_chain_data4[[#This Row],[Production_volumes]]*supply_chain_data4[[#This Row],[Manufacturing_costs]]</f>
        <v>69926.269833644445</v>
      </c>
      <c r="AD42" s="1">
        <f>supply_chain_data4[[#This Row],[Order_quantities]]*supply_chain_data4[[#This Row],[Shipping_costs]]</f>
        <v>281.9542104497225</v>
      </c>
      <c r="AE42" s="1">
        <f>supply_chain_data4[[#This Row],[Revenue_generated ]]-AC42-AD42</f>
        <v>-64483.264693637902</v>
      </c>
    </row>
    <row r="43" spans="1:31" x14ac:dyDescent="0.3">
      <c r="A43" t="s">
        <v>33</v>
      </c>
      <c r="B43" t="s">
        <v>95</v>
      </c>
      <c r="C43" s="1">
        <v>99.113291615317166</v>
      </c>
      <c r="D43" s="3">
        <v>35</v>
      </c>
      <c r="E43" s="3">
        <v>556</v>
      </c>
      <c r="F43" s="5">
        <v>5521.2052590109715</v>
      </c>
      <c r="G43" t="s">
        <v>35</v>
      </c>
      <c r="H43" s="3">
        <v>64</v>
      </c>
      <c r="I43">
        <v>19</v>
      </c>
      <c r="J43" s="3">
        <v>38</v>
      </c>
      <c r="K43">
        <v>8</v>
      </c>
      <c r="L43" t="s">
        <v>27</v>
      </c>
      <c r="M43" s="1">
        <v>5.7732637437666536</v>
      </c>
      <c r="N43" t="s">
        <v>52</v>
      </c>
      <c r="O43" t="s">
        <v>62</v>
      </c>
      <c r="P43" s="3">
        <v>18</v>
      </c>
      <c r="Q43" s="3">
        <v>892</v>
      </c>
      <c r="R43" s="3">
        <v>7</v>
      </c>
      <c r="S43" s="1">
        <v>95.332064548772493</v>
      </c>
      <c r="T43" t="s">
        <v>46</v>
      </c>
      <c r="U43" s="2">
        <v>4.530226239825963E-2</v>
      </c>
      <c r="V43" t="s">
        <v>56</v>
      </c>
      <c r="W43" t="s">
        <v>48</v>
      </c>
      <c r="X43" s="1">
        <v>275.52437113130981</v>
      </c>
      <c r="Y43" s="1">
        <f>supply_chain_data4[[#This Row],[Revenue_generated ]]/supply_chain_data4[[#This Row],[Number_of_products sold]]</f>
        <v>9.9302252859909554</v>
      </c>
      <c r="Z43" t="str">
        <f>IF(supply_chain_data4[[#This Row],[Stock_levels]]&lt;30,"Low Stock",
IF(supply_chain_data4[[#This Row],[Stock_levels]]&lt;=70,"Medium Stock","High Stock"))</f>
        <v>Medium Stock</v>
      </c>
      <c r="AA43" t="str">
        <f>IF(supply_chain_data4[[#This Row],[Lead_time]]&lt;=10,"Short",
IF(supply_chain_data4[[#This Row],[Lead_time]]&lt;=20,"Medium","Long"))</f>
        <v>Medium</v>
      </c>
      <c r="AB43" t="str">
        <f>IF(supply_chain_data4[[#This Row],[Defect_rates]]&lt;2,"Low Defect",
IF(supply_chain_data4[[#This Row],[Defect_rates]]&lt;=4,"Medium Defect","High Defect"))</f>
        <v>Low Defect</v>
      </c>
      <c r="AC43" s="1">
        <f>supply_chain_data4[[#This Row],[Production_volumes]]*supply_chain_data4[[#This Row],[Manufacturing_costs]]</f>
        <v>85036.201577505068</v>
      </c>
      <c r="AD43" s="1">
        <f>supply_chain_data4[[#This Row],[Order_quantities]]*supply_chain_data4[[#This Row],[Shipping_costs]]</f>
        <v>219.38402226313283</v>
      </c>
      <c r="AE43" s="1">
        <f>supply_chain_data4[[#This Row],[Revenue_generated ]]-AC43-AD43</f>
        <v>-79734.380340757227</v>
      </c>
    </row>
    <row r="44" spans="1:31" x14ac:dyDescent="0.3">
      <c r="A44" t="s">
        <v>33</v>
      </c>
      <c r="B44" t="s">
        <v>96</v>
      </c>
      <c r="C44" s="1">
        <v>46.529167614516773</v>
      </c>
      <c r="D44" s="3">
        <v>98</v>
      </c>
      <c r="E44" s="3">
        <v>155</v>
      </c>
      <c r="F44" s="5">
        <v>1839.6094258567639</v>
      </c>
      <c r="G44" t="s">
        <v>35</v>
      </c>
      <c r="H44" s="3">
        <v>22</v>
      </c>
      <c r="I44">
        <v>27</v>
      </c>
      <c r="J44" s="3">
        <v>57</v>
      </c>
      <c r="K44">
        <v>4</v>
      </c>
      <c r="L44" t="s">
        <v>43</v>
      </c>
      <c r="M44" s="1">
        <v>7.5262483268515084</v>
      </c>
      <c r="N44" t="s">
        <v>44</v>
      </c>
      <c r="O44" t="s">
        <v>53</v>
      </c>
      <c r="P44" s="3">
        <v>26</v>
      </c>
      <c r="Q44" s="3">
        <v>179</v>
      </c>
      <c r="R44" s="3">
        <v>7</v>
      </c>
      <c r="S44" s="1">
        <v>96.422820639571867</v>
      </c>
      <c r="T44" t="s">
        <v>46</v>
      </c>
      <c r="U44" s="2">
        <v>4.9392552886209478</v>
      </c>
      <c r="V44" t="s">
        <v>31</v>
      </c>
      <c r="W44" t="s">
        <v>48</v>
      </c>
      <c r="X44" s="1">
        <v>635.65712050199193</v>
      </c>
      <c r="Y44" s="1">
        <f>supply_chain_data4[[#This Row],[Revenue_generated ]]/supply_chain_data4[[#This Row],[Number_of_products sold]]</f>
        <v>11.868447908753316</v>
      </c>
      <c r="Z44" t="str">
        <f>IF(supply_chain_data4[[#This Row],[Stock_levels]]&lt;30,"Low Stock",
IF(supply_chain_data4[[#This Row],[Stock_levels]]&lt;=70,"Medium Stock","High Stock"))</f>
        <v>Low Stock</v>
      </c>
      <c r="AA44" t="str">
        <f>IF(supply_chain_data4[[#This Row],[Lead_time]]&lt;=10,"Short",
IF(supply_chain_data4[[#This Row],[Lead_time]]&lt;=20,"Medium","Long"))</f>
        <v>Long</v>
      </c>
      <c r="AB44" t="str">
        <f>IF(supply_chain_data4[[#This Row],[Defect_rates]]&lt;2,"Low Defect",
IF(supply_chain_data4[[#This Row],[Defect_rates]]&lt;=4,"Medium Defect","High Defect"))</f>
        <v>High Defect</v>
      </c>
      <c r="AC44" s="1">
        <f>supply_chain_data4[[#This Row],[Production_volumes]]*supply_chain_data4[[#This Row],[Manufacturing_costs]]</f>
        <v>17259.684894483365</v>
      </c>
      <c r="AD44" s="1">
        <f>supply_chain_data4[[#This Row],[Order_quantities]]*supply_chain_data4[[#This Row],[Shipping_costs]]</f>
        <v>428.99615463053595</v>
      </c>
      <c r="AE44" s="1">
        <f>supply_chain_data4[[#This Row],[Revenue_generated ]]-AC44-AD44</f>
        <v>-15849.071623257138</v>
      </c>
    </row>
    <row r="45" spans="1:31" x14ac:dyDescent="0.3">
      <c r="A45" t="s">
        <v>24</v>
      </c>
      <c r="B45" t="s">
        <v>97</v>
      </c>
      <c r="C45" s="1">
        <v>11.743271776309239</v>
      </c>
      <c r="D45" s="3">
        <v>6</v>
      </c>
      <c r="E45" s="3">
        <v>598</v>
      </c>
      <c r="F45" s="5">
        <v>5737.425599119023</v>
      </c>
      <c r="G45" t="s">
        <v>38</v>
      </c>
      <c r="H45" s="3">
        <v>36</v>
      </c>
      <c r="I45">
        <v>29</v>
      </c>
      <c r="J45" s="3">
        <v>85</v>
      </c>
      <c r="K45">
        <v>9</v>
      </c>
      <c r="L45" t="s">
        <v>27</v>
      </c>
      <c r="M45" s="1">
        <v>3.6940212683884543</v>
      </c>
      <c r="N45" t="s">
        <v>44</v>
      </c>
      <c r="O45" t="s">
        <v>29</v>
      </c>
      <c r="P45" s="3">
        <v>1</v>
      </c>
      <c r="Q45" s="3">
        <v>206</v>
      </c>
      <c r="R45" s="3">
        <v>23</v>
      </c>
      <c r="S45" s="1">
        <v>26.27736595733241</v>
      </c>
      <c r="T45" t="s">
        <v>30</v>
      </c>
      <c r="U45" s="2">
        <v>0.37230476798509771</v>
      </c>
      <c r="V45" t="s">
        <v>40</v>
      </c>
      <c r="W45" t="s">
        <v>48</v>
      </c>
      <c r="X45" s="1">
        <v>716.04411975934067</v>
      </c>
      <c r="Y45" s="1">
        <f>supply_chain_data4[[#This Row],[Revenue_generated ]]/supply_chain_data4[[#This Row],[Number_of_products sold]]</f>
        <v>9.5943571891622454</v>
      </c>
      <c r="Z45" t="str">
        <f>IF(supply_chain_data4[[#This Row],[Stock_levels]]&lt;30,"Low Stock",
IF(supply_chain_data4[[#This Row],[Stock_levels]]&lt;=70,"Medium Stock","High Stock"))</f>
        <v>Medium Stock</v>
      </c>
      <c r="AA45" t="str">
        <f>IF(supply_chain_data4[[#This Row],[Lead_time]]&lt;=10,"Short",
IF(supply_chain_data4[[#This Row],[Lead_time]]&lt;=20,"Medium","Long"))</f>
        <v>Short</v>
      </c>
      <c r="AB45" t="str">
        <f>IF(supply_chain_data4[[#This Row],[Defect_rates]]&lt;2,"Low Defect",
IF(supply_chain_data4[[#This Row],[Defect_rates]]&lt;=4,"Medium Defect","High Defect"))</f>
        <v>Low Defect</v>
      </c>
      <c r="AC45" s="1">
        <f>supply_chain_data4[[#This Row],[Production_volumes]]*supply_chain_data4[[#This Row],[Manufacturing_costs]]</f>
        <v>5413.1373872104768</v>
      </c>
      <c r="AD45" s="1">
        <f>supply_chain_data4[[#This Row],[Order_quantities]]*supply_chain_data4[[#This Row],[Shipping_costs]]</f>
        <v>313.99180781301862</v>
      </c>
      <c r="AE45" s="1">
        <f>supply_chain_data4[[#This Row],[Revenue_generated ]]-AC45-AD45</f>
        <v>10.296404095527521</v>
      </c>
    </row>
    <row r="46" spans="1:31" x14ac:dyDescent="0.3">
      <c r="A46" t="s">
        <v>57</v>
      </c>
      <c r="B46" t="s">
        <v>98</v>
      </c>
      <c r="C46" s="1">
        <v>51.35579091311039</v>
      </c>
      <c r="D46" s="3">
        <v>34</v>
      </c>
      <c r="E46" s="3">
        <v>919</v>
      </c>
      <c r="F46" s="5">
        <v>7152.2860494355145</v>
      </c>
      <c r="G46" t="s">
        <v>35</v>
      </c>
      <c r="H46" s="3">
        <v>13</v>
      </c>
      <c r="I46">
        <v>19</v>
      </c>
      <c r="J46" s="3">
        <v>72</v>
      </c>
      <c r="K46">
        <v>6</v>
      </c>
      <c r="L46" t="s">
        <v>43</v>
      </c>
      <c r="M46" s="1">
        <v>7.5774496573766932</v>
      </c>
      <c r="N46" t="s">
        <v>61</v>
      </c>
      <c r="O46" t="s">
        <v>50</v>
      </c>
      <c r="P46" s="3">
        <v>7</v>
      </c>
      <c r="Q46" s="3">
        <v>834</v>
      </c>
      <c r="R46" s="3">
        <v>18</v>
      </c>
      <c r="S46" s="1">
        <v>22.554106620887744</v>
      </c>
      <c r="T46" t="s">
        <v>46</v>
      </c>
      <c r="U46" s="2">
        <v>2.9626263204548819</v>
      </c>
      <c r="V46" t="s">
        <v>47</v>
      </c>
      <c r="W46" t="s">
        <v>48</v>
      </c>
      <c r="X46" s="1">
        <v>610.45326961922774</v>
      </c>
      <c r="Y46" s="1">
        <f>supply_chain_data4[[#This Row],[Revenue_generated ]]/supply_chain_data4[[#This Row],[Number_of_products sold]]</f>
        <v>7.7826834052617135</v>
      </c>
      <c r="Z46" t="str">
        <f>IF(supply_chain_data4[[#This Row],[Stock_levels]]&lt;30,"Low Stock",
IF(supply_chain_data4[[#This Row],[Stock_levels]]&lt;=70,"Medium Stock","High Stock"))</f>
        <v>Low Stock</v>
      </c>
      <c r="AA46" t="str">
        <f>IF(supply_chain_data4[[#This Row],[Lead_time]]&lt;=10,"Short",
IF(supply_chain_data4[[#This Row],[Lead_time]]&lt;=20,"Medium","Long"))</f>
        <v>Short</v>
      </c>
      <c r="AB46" t="str">
        <f>IF(supply_chain_data4[[#This Row],[Defect_rates]]&lt;2,"Low Defect",
IF(supply_chain_data4[[#This Row],[Defect_rates]]&lt;=4,"Medium Defect","High Defect"))</f>
        <v>Medium Defect</v>
      </c>
      <c r="AC46" s="1">
        <f>supply_chain_data4[[#This Row],[Production_volumes]]*supply_chain_data4[[#This Row],[Manufacturing_costs]]</f>
        <v>18810.124921820377</v>
      </c>
      <c r="AD46" s="1">
        <f>supply_chain_data4[[#This Row],[Order_quantities]]*supply_chain_data4[[#This Row],[Shipping_costs]]</f>
        <v>545.57637533112188</v>
      </c>
      <c r="AE46" s="1">
        <f>supply_chain_data4[[#This Row],[Revenue_generated ]]-AC46-AD46</f>
        <v>-12203.415247715984</v>
      </c>
    </row>
    <row r="47" spans="1:31" x14ac:dyDescent="0.3">
      <c r="A47" t="s">
        <v>24</v>
      </c>
      <c r="B47" t="s">
        <v>99</v>
      </c>
      <c r="C47" s="1">
        <v>33.78413803306551</v>
      </c>
      <c r="D47" s="3">
        <v>1</v>
      </c>
      <c r="E47" s="3">
        <v>24</v>
      </c>
      <c r="F47" s="5">
        <v>5267.9568075105208</v>
      </c>
      <c r="G47" t="s">
        <v>55</v>
      </c>
      <c r="H47" s="3">
        <v>93</v>
      </c>
      <c r="I47">
        <v>7</v>
      </c>
      <c r="J47" s="3">
        <v>52</v>
      </c>
      <c r="K47">
        <v>6</v>
      </c>
      <c r="L47" t="s">
        <v>27</v>
      </c>
      <c r="M47" s="1">
        <v>5.2151550087119096</v>
      </c>
      <c r="N47" t="s">
        <v>61</v>
      </c>
      <c r="O47" t="s">
        <v>62</v>
      </c>
      <c r="P47" s="3">
        <v>25</v>
      </c>
      <c r="Q47" s="3">
        <v>794</v>
      </c>
      <c r="R47" s="3">
        <v>25</v>
      </c>
      <c r="S47" s="1">
        <v>66.312544439991655</v>
      </c>
      <c r="T47" t="s">
        <v>64</v>
      </c>
      <c r="U47" s="2">
        <v>3.219604612084106</v>
      </c>
      <c r="V47" t="s">
        <v>47</v>
      </c>
      <c r="W47" t="s">
        <v>48</v>
      </c>
      <c r="X47" s="1">
        <v>495.30569702847396</v>
      </c>
      <c r="Y47" s="1">
        <f>supply_chain_data4[[#This Row],[Revenue_generated ]]/supply_chain_data4[[#This Row],[Number_of_products sold]]</f>
        <v>219.49820031293837</v>
      </c>
      <c r="Z47" t="str">
        <f>IF(supply_chain_data4[[#This Row],[Stock_levels]]&lt;30,"Low Stock",
IF(supply_chain_data4[[#This Row],[Stock_levels]]&lt;=70,"Medium Stock","High Stock"))</f>
        <v>High Stock</v>
      </c>
      <c r="AA47" t="str">
        <f>IF(supply_chain_data4[[#This Row],[Lead_time]]&lt;=10,"Short",
IF(supply_chain_data4[[#This Row],[Lead_time]]&lt;=20,"Medium","Long"))</f>
        <v>Long</v>
      </c>
      <c r="AB47" t="str">
        <f>IF(supply_chain_data4[[#This Row],[Defect_rates]]&lt;2,"Low Defect",
IF(supply_chain_data4[[#This Row],[Defect_rates]]&lt;=4,"Medium Defect","High Defect"))</f>
        <v>Medium Defect</v>
      </c>
      <c r="AC47" s="1">
        <f>supply_chain_data4[[#This Row],[Production_volumes]]*supply_chain_data4[[#This Row],[Manufacturing_costs]]</f>
        <v>52652.160285353377</v>
      </c>
      <c r="AD47" s="1">
        <f>supply_chain_data4[[#This Row],[Order_quantities]]*supply_chain_data4[[#This Row],[Shipping_costs]]</f>
        <v>271.18806045301932</v>
      </c>
      <c r="AE47" s="1">
        <f>supply_chain_data4[[#This Row],[Revenue_generated ]]-AC47-AD47</f>
        <v>-47655.391538295873</v>
      </c>
    </row>
    <row r="48" spans="1:31" x14ac:dyDescent="0.3">
      <c r="A48" t="s">
        <v>24</v>
      </c>
      <c r="B48" t="s">
        <v>100</v>
      </c>
      <c r="C48" s="1">
        <v>27.082207199888899</v>
      </c>
      <c r="D48" s="3">
        <v>75</v>
      </c>
      <c r="E48" s="3">
        <v>859</v>
      </c>
      <c r="F48" s="5">
        <v>2556.7673606335957</v>
      </c>
      <c r="G48" t="s">
        <v>26</v>
      </c>
      <c r="H48" s="3">
        <v>92</v>
      </c>
      <c r="I48">
        <v>29</v>
      </c>
      <c r="J48" s="3">
        <v>6</v>
      </c>
      <c r="K48">
        <v>8</v>
      </c>
      <c r="L48" t="s">
        <v>27</v>
      </c>
      <c r="M48" s="1">
        <v>4.0709558370840826</v>
      </c>
      <c r="N48" t="s">
        <v>28</v>
      </c>
      <c r="O48" t="s">
        <v>62</v>
      </c>
      <c r="P48" s="3">
        <v>18</v>
      </c>
      <c r="Q48" s="3">
        <v>870</v>
      </c>
      <c r="R48" s="3">
        <v>23</v>
      </c>
      <c r="S48" s="1">
        <v>77.32235321105162</v>
      </c>
      <c r="T48" t="s">
        <v>30</v>
      </c>
      <c r="U48" s="2">
        <v>3.6486105925362033</v>
      </c>
      <c r="V48" t="s">
        <v>31</v>
      </c>
      <c r="W48" t="s">
        <v>32</v>
      </c>
      <c r="X48" s="1">
        <v>380.43593711196428</v>
      </c>
      <c r="Y48" s="1">
        <f>supply_chain_data4[[#This Row],[Revenue_generated ]]/supply_chain_data4[[#This Row],[Number_of_products sold]]</f>
        <v>2.976446287117108</v>
      </c>
      <c r="Z48" t="str">
        <f>IF(supply_chain_data4[[#This Row],[Stock_levels]]&lt;30,"Low Stock",
IF(supply_chain_data4[[#This Row],[Stock_levels]]&lt;=70,"Medium Stock","High Stock"))</f>
        <v>High Stock</v>
      </c>
      <c r="AA48" t="str">
        <f>IF(supply_chain_data4[[#This Row],[Lead_time]]&lt;=10,"Short",
IF(supply_chain_data4[[#This Row],[Lead_time]]&lt;=20,"Medium","Long"))</f>
        <v>Medium</v>
      </c>
      <c r="AB48" t="str">
        <f>IF(supply_chain_data4[[#This Row],[Defect_rates]]&lt;2,"Low Defect",
IF(supply_chain_data4[[#This Row],[Defect_rates]]&lt;=4,"Medium Defect","High Defect"))</f>
        <v>Medium Defect</v>
      </c>
      <c r="AC48" s="1">
        <f>supply_chain_data4[[#This Row],[Production_volumes]]*supply_chain_data4[[#This Row],[Manufacturing_costs]]</f>
        <v>67270.44729361491</v>
      </c>
      <c r="AD48" s="1">
        <f>supply_chain_data4[[#This Row],[Order_quantities]]*supply_chain_data4[[#This Row],[Shipping_costs]]</f>
        <v>24.425735022504497</v>
      </c>
      <c r="AE48" s="1">
        <f>supply_chain_data4[[#This Row],[Revenue_generated ]]-AC48-AD48</f>
        <v>-64738.105668003816</v>
      </c>
    </row>
    <row r="49" spans="1:31" x14ac:dyDescent="0.3">
      <c r="A49" t="s">
        <v>33</v>
      </c>
      <c r="B49" t="s">
        <v>101</v>
      </c>
      <c r="C49" s="1">
        <v>95.712135880936088</v>
      </c>
      <c r="D49" s="3">
        <v>93</v>
      </c>
      <c r="E49" s="3">
        <v>910</v>
      </c>
      <c r="F49" s="5">
        <v>7089.4742499341864</v>
      </c>
      <c r="G49" t="s">
        <v>55</v>
      </c>
      <c r="H49" s="3">
        <v>4</v>
      </c>
      <c r="I49">
        <v>15</v>
      </c>
      <c r="J49" s="3">
        <v>51</v>
      </c>
      <c r="K49">
        <v>9</v>
      </c>
      <c r="L49" t="s">
        <v>27</v>
      </c>
      <c r="M49" s="1">
        <v>8.9787507559499709</v>
      </c>
      <c r="N49" t="s">
        <v>39</v>
      </c>
      <c r="O49" t="s">
        <v>45</v>
      </c>
      <c r="P49" s="3">
        <v>10</v>
      </c>
      <c r="Q49" s="3">
        <v>964</v>
      </c>
      <c r="R49" s="3">
        <v>20</v>
      </c>
      <c r="S49" s="1">
        <v>19.712992911293647</v>
      </c>
      <c r="T49" t="s">
        <v>30</v>
      </c>
      <c r="U49" s="2">
        <v>0.38057358671321373</v>
      </c>
      <c r="V49" t="s">
        <v>47</v>
      </c>
      <c r="W49" t="s">
        <v>48</v>
      </c>
      <c r="X49" s="1">
        <v>581.60235505058677</v>
      </c>
      <c r="Y49" s="1">
        <f>supply_chain_data4[[#This Row],[Revenue_generated ]]/supply_chain_data4[[#This Row],[Number_of_products sold]]</f>
        <v>7.790631043883721</v>
      </c>
      <c r="Z49" t="str">
        <f>IF(supply_chain_data4[[#This Row],[Stock_levels]]&lt;30,"Low Stock",
IF(supply_chain_data4[[#This Row],[Stock_levels]]&lt;=70,"Medium Stock","High Stock"))</f>
        <v>Low Stock</v>
      </c>
      <c r="AA49" t="str">
        <f>IF(supply_chain_data4[[#This Row],[Lead_time]]&lt;=10,"Short",
IF(supply_chain_data4[[#This Row],[Lead_time]]&lt;=20,"Medium","Long"))</f>
        <v>Short</v>
      </c>
      <c r="AB49" t="str">
        <f>IF(supply_chain_data4[[#This Row],[Defect_rates]]&lt;2,"Low Defect",
IF(supply_chain_data4[[#This Row],[Defect_rates]]&lt;=4,"Medium Defect","High Defect"))</f>
        <v>Low Defect</v>
      </c>
      <c r="AC49" s="1">
        <f>supply_chain_data4[[#This Row],[Production_volumes]]*supply_chain_data4[[#This Row],[Manufacturing_costs]]</f>
        <v>19003.325166487077</v>
      </c>
      <c r="AD49" s="1">
        <f>supply_chain_data4[[#This Row],[Order_quantities]]*supply_chain_data4[[#This Row],[Shipping_costs]]</f>
        <v>457.91628855344851</v>
      </c>
      <c r="AE49" s="1">
        <f>supply_chain_data4[[#This Row],[Revenue_generated ]]-AC49-AD49</f>
        <v>-12371.767205106338</v>
      </c>
    </row>
    <row r="50" spans="1:31" x14ac:dyDescent="0.3">
      <c r="A50" t="s">
        <v>24</v>
      </c>
      <c r="B50" t="s">
        <v>102</v>
      </c>
      <c r="C50" s="1">
        <v>76.035544426891718</v>
      </c>
      <c r="D50" s="3">
        <v>28</v>
      </c>
      <c r="E50" s="3">
        <v>29</v>
      </c>
      <c r="F50" s="5">
        <v>7397.0710045871801</v>
      </c>
      <c r="G50" t="s">
        <v>26</v>
      </c>
      <c r="H50" s="3">
        <v>30</v>
      </c>
      <c r="I50">
        <v>16</v>
      </c>
      <c r="J50" s="3">
        <v>9</v>
      </c>
      <c r="K50">
        <v>3</v>
      </c>
      <c r="L50" t="s">
        <v>43</v>
      </c>
      <c r="M50" s="1">
        <v>7.0958331565551385</v>
      </c>
      <c r="N50" t="s">
        <v>61</v>
      </c>
      <c r="O50" t="s">
        <v>29</v>
      </c>
      <c r="P50" s="3">
        <v>9</v>
      </c>
      <c r="Q50" s="3">
        <v>109</v>
      </c>
      <c r="R50" s="3">
        <v>18</v>
      </c>
      <c r="S50" s="1">
        <v>23.126363582464776</v>
      </c>
      <c r="T50" t="s">
        <v>46</v>
      </c>
      <c r="U50" s="2">
        <v>1.6981125407144038</v>
      </c>
      <c r="V50" t="s">
        <v>47</v>
      </c>
      <c r="W50" t="s">
        <v>32</v>
      </c>
      <c r="X50" s="1">
        <v>768.65191395437</v>
      </c>
      <c r="Y50" s="1">
        <f>supply_chain_data4[[#This Row],[Revenue_generated ]]/supply_chain_data4[[#This Row],[Number_of_products sold]]</f>
        <v>255.07141395128207</v>
      </c>
      <c r="Z50" t="str">
        <f>IF(supply_chain_data4[[#This Row],[Stock_levels]]&lt;30,"Low Stock",
IF(supply_chain_data4[[#This Row],[Stock_levels]]&lt;=70,"Medium Stock","High Stock"))</f>
        <v>Medium Stock</v>
      </c>
      <c r="AA50" t="str">
        <f>IF(supply_chain_data4[[#This Row],[Lead_time]]&lt;=10,"Short",
IF(supply_chain_data4[[#This Row],[Lead_time]]&lt;=20,"Medium","Long"))</f>
        <v>Short</v>
      </c>
      <c r="AB50" t="str">
        <f>IF(supply_chain_data4[[#This Row],[Defect_rates]]&lt;2,"Low Defect",
IF(supply_chain_data4[[#This Row],[Defect_rates]]&lt;=4,"Medium Defect","High Defect"))</f>
        <v>Low Defect</v>
      </c>
      <c r="AC50" s="1">
        <f>supply_chain_data4[[#This Row],[Production_volumes]]*supply_chain_data4[[#This Row],[Manufacturing_costs]]</f>
        <v>2520.7736304886607</v>
      </c>
      <c r="AD50" s="1">
        <f>supply_chain_data4[[#This Row],[Order_quantities]]*supply_chain_data4[[#This Row],[Shipping_costs]]</f>
        <v>63.862498408996245</v>
      </c>
      <c r="AE50" s="1">
        <f>supply_chain_data4[[#This Row],[Revenue_generated ]]-AC50-AD50</f>
        <v>4812.4348756895233</v>
      </c>
    </row>
    <row r="51" spans="1:31" x14ac:dyDescent="0.3">
      <c r="A51" t="s">
        <v>57</v>
      </c>
      <c r="B51" t="s">
        <v>103</v>
      </c>
      <c r="C51" s="1">
        <v>78.897913205640037</v>
      </c>
      <c r="D51" s="3">
        <v>19</v>
      </c>
      <c r="E51" s="3">
        <v>99</v>
      </c>
      <c r="F51" s="5">
        <v>8001.6132065190022</v>
      </c>
      <c r="G51" t="s">
        <v>38</v>
      </c>
      <c r="H51" s="3">
        <v>97</v>
      </c>
      <c r="I51">
        <v>24</v>
      </c>
      <c r="J51" s="3">
        <v>9</v>
      </c>
      <c r="K51">
        <v>6</v>
      </c>
      <c r="L51" t="s">
        <v>43</v>
      </c>
      <c r="M51" s="1">
        <v>2.5056210329009154</v>
      </c>
      <c r="N51" t="s">
        <v>44</v>
      </c>
      <c r="O51" t="s">
        <v>50</v>
      </c>
      <c r="P51" s="3">
        <v>28</v>
      </c>
      <c r="Q51" s="3">
        <v>177</v>
      </c>
      <c r="R51" s="3">
        <v>28</v>
      </c>
      <c r="S51" s="1">
        <v>14.147815443979217</v>
      </c>
      <c r="T51" t="s">
        <v>64</v>
      </c>
      <c r="U51" s="2">
        <v>2.8258139854001318</v>
      </c>
      <c r="V51" t="s">
        <v>47</v>
      </c>
      <c r="W51" t="s">
        <v>48</v>
      </c>
      <c r="X51" s="1">
        <v>336.89016851997792</v>
      </c>
      <c r="Y51" s="1">
        <f>supply_chain_data4[[#This Row],[Revenue_generated ]]/supply_chain_data4[[#This Row],[Number_of_products sold]]</f>
        <v>80.824375823424262</v>
      </c>
      <c r="Z51" t="str">
        <f>IF(supply_chain_data4[[#This Row],[Stock_levels]]&lt;30,"Low Stock",
IF(supply_chain_data4[[#This Row],[Stock_levels]]&lt;=70,"Medium Stock","High Stock"))</f>
        <v>High Stock</v>
      </c>
      <c r="AA51" t="str">
        <f>IF(supply_chain_data4[[#This Row],[Lead_time]]&lt;=10,"Short",
IF(supply_chain_data4[[#This Row],[Lead_time]]&lt;=20,"Medium","Long"))</f>
        <v>Long</v>
      </c>
      <c r="AB51" t="str">
        <f>IF(supply_chain_data4[[#This Row],[Defect_rates]]&lt;2,"Low Defect",
IF(supply_chain_data4[[#This Row],[Defect_rates]]&lt;=4,"Medium Defect","High Defect"))</f>
        <v>Medium Defect</v>
      </c>
      <c r="AC51" s="1">
        <f>supply_chain_data4[[#This Row],[Production_volumes]]*supply_chain_data4[[#This Row],[Manufacturing_costs]]</f>
        <v>2504.1633335843217</v>
      </c>
      <c r="AD51" s="1">
        <f>supply_chain_data4[[#This Row],[Order_quantities]]*supply_chain_data4[[#This Row],[Shipping_costs]]</f>
        <v>22.550589296108239</v>
      </c>
      <c r="AE51" s="1">
        <f>supply_chain_data4[[#This Row],[Revenue_generated ]]-AC51-AD51</f>
        <v>5474.8992836385723</v>
      </c>
    </row>
    <row r="52" spans="1:31" x14ac:dyDescent="0.3">
      <c r="A52" t="s">
        <v>57</v>
      </c>
      <c r="B52" t="s">
        <v>104</v>
      </c>
      <c r="C52" s="1">
        <v>14.203484264803022</v>
      </c>
      <c r="D52" s="3">
        <v>91</v>
      </c>
      <c r="E52" s="3">
        <v>633</v>
      </c>
      <c r="F52" s="5">
        <v>5910.8853896688988</v>
      </c>
      <c r="G52" t="s">
        <v>35</v>
      </c>
      <c r="H52" s="3">
        <v>31</v>
      </c>
      <c r="I52">
        <v>23</v>
      </c>
      <c r="J52" s="3">
        <v>82</v>
      </c>
      <c r="K52">
        <v>10</v>
      </c>
      <c r="L52" t="s">
        <v>36</v>
      </c>
      <c r="M52" s="1">
        <v>6.2478609149759912</v>
      </c>
      <c r="N52" t="s">
        <v>61</v>
      </c>
      <c r="O52" t="s">
        <v>50</v>
      </c>
      <c r="P52" s="3">
        <v>20</v>
      </c>
      <c r="Q52" s="3">
        <v>306</v>
      </c>
      <c r="R52" s="3">
        <v>21</v>
      </c>
      <c r="S52" s="1">
        <v>45.178757924634517</v>
      </c>
      <c r="T52" t="s">
        <v>46</v>
      </c>
      <c r="U52" s="2">
        <v>4.7548008046711852</v>
      </c>
      <c r="V52" t="s">
        <v>47</v>
      </c>
      <c r="W52" t="s">
        <v>32</v>
      </c>
      <c r="X52" s="1">
        <v>496.24865029194046</v>
      </c>
      <c r="Y52" s="1">
        <f>supply_chain_data4[[#This Row],[Revenue_generated ]]/supply_chain_data4[[#This Row],[Number_of_products sold]]</f>
        <v>9.3378916108513401</v>
      </c>
      <c r="Z52" t="str">
        <f>IF(supply_chain_data4[[#This Row],[Stock_levels]]&lt;30,"Low Stock",
IF(supply_chain_data4[[#This Row],[Stock_levels]]&lt;=70,"Medium Stock","High Stock"))</f>
        <v>Medium Stock</v>
      </c>
      <c r="AA52" t="str">
        <f>IF(supply_chain_data4[[#This Row],[Lead_time]]&lt;=10,"Short",
IF(supply_chain_data4[[#This Row],[Lead_time]]&lt;=20,"Medium","Long"))</f>
        <v>Medium</v>
      </c>
      <c r="AB52" t="str">
        <f>IF(supply_chain_data4[[#This Row],[Defect_rates]]&lt;2,"Low Defect",
IF(supply_chain_data4[[#This Row],[Defect_rates]]&lt;=4,"Medium Defect","High Defect"))</f>
        <v>High Defect</v>
      </c>
      <c r="AC52" s="1">
        <f>supply_chain_data4[[#This Row],[Production_volumes]]*supply_chain_data4[[#This Row],[Manufacturing_costs]]</f>
        <v>13824.699924938162</v>
      </c>
      <c r="AD52" s="1">
        <f>supply_chain_data4[[#This Row],[Order_quantities]]*supply_chain_data4[[#This Row],[Shipping_costs]]</f>
        <v>512.32459502803124</v>
      </c>
      <c r="AE52" s="1">
        <f>supply_chain_data4[[#This Row],[Revenue_generated ]]-AC52-AD52</f>
        <v>-8426.1391302972952</v>
      </c>
    </row>
    <row r="53" spans="1:31" x14ac:dyDescent="0.3">
      <c r="A53" t="s">
        <v>24</v>
      </c>
      <c r="B53" t="s">
        <v>105</v>
      </c>
      <c r="C53" s="1">
        <v>26.70076097246173</v>
      </c>
      <c r="D53" s="3">
        <v>61</v>
      </c>
      <c r="E53" s="3">
        <v>154</v>
      </c>
      <c r="F53" s="5">
        <v>9866.465457979697</v>
      </c>
      <c r="G53" t="s">
        <v>55</v>
      </c>
      <c r="H53" s="3">
        <v>100</v>
      </c>
      <c r="I53">
        <v>4</v>
      </c>
      <c r="J53" s="3">
        <v>52</v>
      </c>
      <c r="K53">
        <v>1</v>
      </c>
      <c r="L53" t="s">
        <v>36</v>
      </c>
      <c r="M53" s="1">
        <v>4.7830005579476653</v>
      </c>
      <c r="N53" t="s">
        <v>44</v>
      </c>
      <c r="O53" t="s">
        <v>53</v>
      </c>
      <c r="P53" s="3">
        <v>18</v>
      </c>
      <c r="Q53" s="3">
        <v>673</v>
      </c>
      <c r="R53" s="3">
        <v>28</v>
      </c>
      <c r="S53" s="1">
        <v>14.190328344569981</v>
      </c>
      <c r="T53" t="s">
        <v>30</v>
      </c>
      <c r="U53" s="2">
        <v>1.7729511720835571</v>
      </c>
      <c r="V53" t="s">
        <v>31</v>
      </c>
      <c r="W53" t="s">
        <v>48</v>
      </c>
      <c r="X53" s="1">
        <v>694.98231757944586</v>
      </c>
      <c r="Y53" s="1">
        <f>supply_chain_data4[[#This Row],[Revenue_generated ]]/supply_chain_data4[[#This Row],[Number_of_products sold]]</f>
        <v>64.067957519348681</v>
      </c>
      <c r="Z53" t="str">
        <f>IF(supply_chain_data4[[#This Row],[Stock_levels]]&lt;30,"Low Stock",
IF(supply_chain_data4[[#This Row],[Stock_levels]]&lt;=70,"Medium Stock","High Stock"))</f>
        <v>High Stock</v>
      </c>
      <c r="AA53" t="str">
        <f>IF(supply_chain_data4[[#This Row],[Lead_time]]&lt;=10,"Short",
IF(supply_chain_data4[[#This Row],[Lead_time]]&lt;=20,"Medium","Long"))</f>
        <v>Medium</v>
      </c>
      <c r="AB53" t="str">
        <f>IF(supply_chain_data4[[#This Row],[Defect_rates]]&lt;2,"Low Defect",
IF(supply_chain_data4[[#This Row],[Defect_rates]]&lt;=4,"Medium Defect","High Defect"))</f>
        <v>Low Defect</v>
      </c>
      <c r="AC53" s="1">
        <f>supply_chain_data4[[#This Row],[Production_volumes]]*supply_chain_data4[[#This Row],[Manufacturing_costs]]</f>
        <v>9550.0909758955968</v>
      </c>
      <c r="AD53" s="1">
        <f>supply_chain_data4[[#This Row],[Order_quantities]]*supply_chain_data4[[#This Row],[Shipping_costs]]</f>
        <v>248.71602901327859</v>
      </c>
      <c r="AE53" s="1">
        <f>supply_chain_data4[[#This Row],[Revenue_generated ]]-AC53-AD53</f>
        <v>67.65845307082165</v>
      </c>
    </row>
    <row r="54" spans="1:31" x14ac:dyDescent="0.3">
      <c r="A54" t="s">
        <v>33</v>
      </c>
      <c r="B54" t="s">
        <v>106</v>
      </c>
      <c r="C54" s="1">
        <v>98.031829656465078</v>
      </c>
      <c r="D54" s="3">
        <v>1</v>
      </c>
      <c r="E54" s="3">
        <v>820</v>
      </c>
      <c r="F54" s="5">
        <v>9435.7626089121295</v>
      </c>
      <c r="G54" t="s">
        <v>55</v>
      </c>
      <c r="H54" s="3">
        <v>64</v>
      </c>
      <c r="I54">
        <v>11</v>
      </c>
      <c r="J54" s="3">
        <v>11</v>
      </c>
      <c r="K54">
        <v>1</v>
      </c>
      <c r="L54" t="s">
        <v>27</v>
      </c>
      <c r="M54" s="1">
        <v>8.6310521797689468</v>
      </c>
      <c r="N54" t="s">
        <v>39</v>
      </c>
      <c r="O54" t="s">
        <v>29</v>
      </c>
      <c r="P54" s="3">
        <v>10</v>
      </c>
      <c r="Q54" s="3">
        <v>727</v>
      </c>
      <c r="R54" s="3">
        <v>27</v>
      </c>
      <c r="S54" s="1">
        <v>9.1668491485971515</v>
      </c>
      <c r="T54" t="s">
        <v>30</v>
      </c>
      <c r="U54" s="2">
        <v>2.1224716191438247</v>
      </c>
      <c r="V54" t="s">
        <v>40</v>
      </c>
      <c r="W54" t="s">
        <v>41</v>
      </c>
      <c r="X54" s="1">
        <v>602.89849883838338</v>
      </c>
      <c r="Y54" s="1">
        <f>supply_chain_data4[[#This Row],[Revenue_generated ]]/supply_chain_data4[[#This Row],[Number_of_products sold]]</f>
        <v>11.507027571844061</v>
      </c>
      <c r="Z54" t="str">
        <f>IF(supply_chain_data4[[#This Row],[Stock_levels]]&lt;30,"Low Stock",
IF(supply_chain_data4[[#This Row],[Stock_levels]]&lt;=70,"Medium Stock","High Stock"))</f>
        <v>Medium Stock</v>
      </c>
      <c r="AA54" t="str">
        <f>IF(supply_chain_data4[[#This Row],[Lead_time]]&lt;=10,"Short",
IF(supply_chain_data4[[#This Row],[Lead_time]]&lt;=20,"Medium","Long"))</f>
        <v>Short</v>
      </c>
      <c r="AB54" t="str">
        <f>IF(supply_chain_data4[[#This Row],[Defect_rates]]&lt;2,"Low Defect",
IF(supply_chain_data4[[#This Row],[Defect_rates]]&lt;=4,"Medium Defect","High Defect"))</f>
        <v>Medium Defect</v>
      </c>
      <c r="AC54" s="1">
        <f>supply_chain_data4[[#This Row],[Production_volumes]]*supply_chain_data4[[#This Row],[Manufacturing_costs]]</f>
        <v>6664.299331030129</v>
      </c>
      <c r="AD54" s="1">
        <f>supply_chain_data4[[#This Row],[Order_quantities]]*supply_chain_data4[[#This Row],[Shipping_costs]]</f>
        <v>94.941573977458418</v>
      </c>
      <c r="AE54" s="1">
        <f>supply_chain_data4[[#This Row],[Revenue_generated ]]-AC54-AD54</f>
        <v>2676.5217039045419</v>
      </c>
    </row>
    <row r="55" spans="1:31" x14ac:dyDescent="0.3">
      <c r="A55" t="s">
        <v>33</v>
      </c>
      <c r="B55" t="s">
        <v>107</v>
      </c>
      <c r="C55" s="1">
        <v>30.341470711214214</v>
      </c>
      <c r="D55" s="3">
        <v>93</v>
      </c>
      <c r="E55" s="3">
        <v>242</v>
      </c>
      <c r="F55" s="5">
        <v>8232.3348294258212</v>
      </c>
      <c r="G55" t="s">
        <v>55</v>
      </c>
      <c r="H55" s="3">
        <v>96</v>
      </c>
      <c r="I55">
        <v>25</v>
      </c>
      <c r="J55" s="3">
        <v>54</v>
      </c>
      <c r="K55">
        <v>3</v>
      </c>
      <c r="L55" t="s">
        <v>27</v>
      </c>
      <c r="M55" s="1">
        <v>1.0134865660958963</v>
      </c>
      <c r="N55" t="s">
        <v>39</v>
      </c>
      <c r="O55" t="s">
        <v>50</v>
      </c>
      <c r="P55" s="3">
        <v>1</v>
      </c>
      <c r="Q55" s="3">
        <v>631</v>
      </c>
      <c r="R55" s="3">
        <v>17</v>
      </c>
      <c r="S55" s="1">
        <v>83.344058991677969</v>
      </c>
      <c r="T55" t="s">
        <v>30</v>
      </c>
      <c r="U55" s="2">
        <v>1.4103475760760271</v>
      </c>
      <c r="V55" t="s">
        <v>40</v>
      </c>
      <c r="W55" t="s">
        <v>32</v>
      </c>
      <c r="X55" s="1">
        <v>750.73784066827091</v>
      </c>
      <c r="Y55" s="1">
        <f>supply_chain_data4[[#This Row],[Revenue_generated ]]/supply_chain_data4[[#This Row],[Number_of_products sold]]</f>
        <v>34.017912518288519</v>
      </c>
      <c r="Z55" t="str">
        <f>IF(supply_chain_data4[[#This Row],[Stock_levels]]&lt;30,"Low Stock",
IF(supply_chain_data4[[#This Row],[Stock_levels]]&lt;=70,"Medium Stock","High Stock"))</f>
        <v>High Stock</v>
      </c>
      <c r="AA55" t="str">
        <f>IF(supply_chain_data4[[#This Row],[Lead_time]]&lt;=10,"Short",
IF(supply_chain_data4[[#This Row],[Lead_time]]&lt;=20,"Medium","Long"))</f>
        <v>Short</v>
      </c>
      <c r="AB55" t="str">
        <f>IF(supply_chain_data4[[#This Row],[Defect_rates]]&lt;2,"Low Defect",
IF(supply_chain_data4[[#This Row],[Defect_rates]]&lt;=4,"Medium Defect","High Defect"))</f>
        <v>Low Defect</v>
      </c>
      <c r="AC55" s="1">
        <f>supply_chain_data4[[#This Row],[Production_volumes]]*supply_chain_data4[[#This Row],[Manufacturing_costs]]</f>
        <v>52590.101223748796</v>
      </c>
      <c r="AD55" s="1">
        <f>supply_chain_data4[[#This Row],[Order_quantities]]*supply_chain_data4[[#This Row],[Shipping_costs]]</f>
        <v>54.728274569178396</v>
      </c>
      <c r="AE55" s="1">
        <f>supply_chain_data4[[#This Row],[Revenue_generated ]]-AC55-AD55</f>
        <v>-44412.494668892148</v>
      </c>
    </row>
    <row r="56" spans="1:31" x14ac:dyDescent="0.3">
      <c r="A56" t="s">
        <v>24</v>
      </c>
      <c r="B56" t="s">
        <v>108</v>
      </c>
      <c r="C56" s="1">
        <v>31.146243160240854</v>
      </c>
      <c r="D56" s="3">
        <v>11</v>
      </c>
      <c r="E56" s="3">
        <v>622</v>
      </c>
      <c r="F56" s="5">
        <v>6088.0214799408586</v>
      </c>
      <c r="G56" t="s">
        <v>26</v>
      </c>
      <c r="H56" s="3">
        <v>33</v>
      </c>
      <c r="I56">
        <v>22</v>
      </c>
      <c r="J56" s="3">
        <v>61</v>
      </c>
      <c r="K56">
        <v>3</v>
      </c>
      <c r="L56" t="s">
        <v>27</v>
      </c>
      <c r="M56" s="1">
        <v>4.3051034712876355</v>
      </c>
      <c r="N56" t="s">
        <v>39</v>
      </c>
      <c r="O56" t="s">
        <v>45</v>
      </c>
      <c r="P56" s="3">
        <v>26</v>
      </c>
      <c r="Q56" s="3">
        <v>497</v>
      </c>
      <c r="R56" s="3">
        <v>29</v>
      </c>
      <c r="S56" s="1">
        <v>30.186023375822508</v>
      </c>
      <c r="T56" t="s">
        <v>64</v>
      </c>
      <c r="U56" s="2">
        <v>2.4787719755397477</v>
      </c>
      <c r="V56" t="s">
        <v>31</v>
      </c>
      <c r="W56" t="s">
        <v>32</v>
      </c>
      <c r="X56" s="1">
        <v>814.06999658218751</v>
      </c>
      <c r="Y56" s="1">
        <f>supply_chain_data4[[#This Row],[Revenue_generated ]]/supply_chain_data4[[#This Row],[Number_of_products sold]]</f>
        <v>9.7878158841492908</v>
      </c>
      <c r="Z56" t="str">
        <f>IF(supply_chain_data4[[#This Row],[Stock_levels]]&lt;30,"Low Stock",
IF(supply_chain_data4[[#This Row],[Stock_levels]]&lt;=70,"Medium Stock","High Stock"))</f>
        <v>Medium Stock</v>
      </c>
      <c r="AA56" t="str">
        <f>IF(supply_chain_data4[[#This Row],[Lead_time]]&lt;=10,"Short",
IF(supply_chain_data4[[#This Row],[Lead_time]]&lt;=20,"Medium","Long"))</f>
        <v>Long</v>
      </c>
      <c r="AB56" t="str">
        <f>IF(supply_chain_data4[[#This Row],[Defect_rates]]&lt;2,"Low Defect",
IF(supply_chain_data4[[#This Row],[Defect_rates]]&lt;=4,"Medium Defect","High Defect"))</f>
        <v>Medium Defect</v>
      </c>
      <c r="AC56" s="1">
        <f>supply_chain_data4[[#This Row],[Production_volumes]]*supply_chain_data4[[#This Row],[Manufacturing_costs]]</f>
        <v>15002.453617783787</v>
      </c>
      <c r="AD56" s="1">
        <f>supply_chain_data4[[#This Row],[Order_quantities]]*supply_chain_data4[[#This Row],[Shipping_costs]]</f>
        <v>262.61131174854575</v>
      </c>
      <c r="AE56" s="1">
        <f>supply_chain_data4[[#This Row],[Revenue_generated ]]-AC56-AD56</f>
        <v>-9177.0434495914742</v>
      </c>
    </row>
    <row r="57" spans="1:31" x14ac:dyDescent="0.3">
      <c r="A57" t="s">
        <v>24</v>
      </c>
      <c r="B57" t="s">
        <v>109</v>
      </c>
      <c r="C57" s="1">
        <v>79.855058340789427</v>
      </c>
      <c r="D57" s="3">
        <v>16</v>
      </c>
      <c r="E57" s="3">
        <v>701</v>
      </c>
      <c r="F57" s="5">
        <v>2925.6751703038126</v>
      </c>
      <c r="G57" t="s">
        <v>55</v>
      </c>
      <c r="H57" s="3">
        <v>97</v>
      </c>
      <c r="I57">
        <v>11</v>
      </c>
      <c r="J57" s="3">
        <v>11</v>
      </c>
      <c r="K57">
        <v>5</v>
      </c>
      <c r="L57" t="s">
        <v>36</v>
      </c>
      <c r="M57" s="1">
        <v>5.0143649550309073</v>
      </c>
      <c r="N57" t="s">
        <v>61</v>
      </c>
      <c r="O57" t="s">
        <v>50</v>
      </c>
      <c r="P57" s="3">
        <v>27</v>
      </c>
      <c r="Q57" s="3">
        <v>918</v>
      </c>
      <c r="R57" s="3">
        <v>5</v>
      </c>
      <c r="S57" s="1">
        <v>30.323545256616502</v>
      </c>
      <c r="T57" t="s">
        <v>46</v>
      </c>
      <c r="U57" s="2">
        <v>4.5489196593963852</v>
      </c>
      <c r="V57" t="s">
        <v>56</v>
      </c>
      <c r="W57" t="s">
        <v>32</v>
      </c>
      <c r="X57" s="1">
        <v>323.01292795247883</v>
      </c>
      <c r="Y57" s="1">
        <f>supply_chain_data4[[#This Row],[Revenue_generated ]]/supply_chain_data4[[#This Row],[Number_of_products sold]]</f>
        <v>4.1735737094205598</v>
      </c>
      <c r="Z57" t="str">
        <f>IF(supply_chain_data4[[#This Row],[Stock_levels]]&lt;30,"Low Stock",
IF(supply_chain_data4[[#This Row],[Stock_levels]]&lt;=70,"Medium Stock","High Stock"))</f>
        <v>High Stock</v>
      </c>
      <c r="AA57" t="str">
        <f>IF(supply_chain_data4[[#This Row],[Lead_time]]&lt;=10,"Short",
IF(supply_chain_data4[[#This Row],[Lead_time]]&lt;=20,"Medium","Long"))</f>
        <v>Long</v>
      </c>
      <c r="AB57" t="str">
        <f>IF(supply_chain_data4[[#This Row],[Defect_rates]]&lt;2,"Low Defect",
IF(supply_chain_data4[[#This Row],[Defect_rates]]&lt;=4,"Medium Defect","High Defect"))</f>
        <v>High Defect</v>
      </c>
      <c r="AC57" s="1">
        <f>supply_chain_data4[[#This Row],[Production_volumes]]*supply_chain_data4[[#This Row],[Manufacturing_costs]]</f>
        <v>27837.014545573948</v>
      </c>
      <c r="AD57" s="1">
        <f>supply_chain_data4[[#This Row],[Order_quantities]]*supply_chain_data4[[#This Row],[Shipping_costs]]</f>
        <v>55.158014505339978</v>
      </c>
      <c r="AE57" s="1">
        <f>supply_chain_data4[[#This Row],[Revenue_generated ]]-AC57-AD57</f>
        <v>-24966.497389775475</v>
      </c>
    </row>
    <row r="58" spans="1:31" x14ac:dyDescent="0.3">
      <c r="A58" t="s">
        <v>33</v>
      </c>
      <c r="B58" t="s">
        <v>110</v>
      </c>
      <c r="C58" s="1">
        <v>20.986386037043378</v>
      </c>
      <c r="D58" s="3">
        <v>90</v>
      </c>
      <c r="E58" s="3">
        <v>93</v>
      </c>
      <c r="F58" s="5">
        <v>4767.020484344137</v>
      </c>
      <c r="G58" t="s">
        <v>26</v>
      </c>
      <c r="H58" s="3">
        <v>25</v>
      </c>
      <c r="I58">
        <v>23</v>
      </c>
      <c r="J58" s="3">
        <v>83</v>
      </c>
      <c r="K58">
        <v>5</v>
      </c>
      <c r="L58" t="s">
        <v>43</v>
      </c>
      <c r="M58" s="1">
        <v>1.7744297140717396</v>
      </c>
      <c r="N58" t="s">
        <v>39</v>
      </c>
      <c r="O58" t="s">
        <v>29</v>
      </c>
      <c r="P58" s="3">
        <v>24</v>
      </c>
      <c r="Q58" s="3">
        <v>826</v>
      </c>
      <c r="R58" s="3">
        <v>28</v>
      </c>
      <c r="S58" s="1">
        <v>12.836284572832753</v>
      </c>
      <c r="T58" t="s">
        <v>64</v>
      </c>
      <c r="U58" s="2">
        <v>1.1737554953874541</v>
      </c>
      <c r="V58" t="s">
        <v>40</v>
      </c>
      <c r="W58" t="s">
        <v>32</v>
      </c>
      <c r="X58" s="1">
        <v>832.21080870602168</v>
      </c>
      <c r="Y58" s="1">
        <f>supply_chain_data4[[#This Row],[Revenue_generated ]]/supply_chain_data4[[#This Row],[Number_of_products sold]]</f>
        <v>51.258284777893948</v>
      </c>
      <c r="Z58" t="str">
        <f>IF(supply_chain_data4[[#This Row],[Stock_levels]]&lt;30,"Low Stock",
IF(supply_chain_data4[[#This Row],[Stock_levels]]&lt;=70,"Medium Stock","High Stock"))</f>
        <v>Low Stock</v>
      </c>
      <c r="AA58" t="str">
        <f>IF(supply_chain_data4[[#This Row],[Lead_time]]&lt;=10,"Short",
IF(supply_chain_data4[[#This Row],[Lead_time]]&lt;=20,"Medium","Long"))</f>
        <v>Long</v>
      </c>
      <c r="AB58" t="str">
        <f>IF(supply_chain_data4[[#This Row],[Defect_rates]]&lt;2,"Low Defect",
IF(supply_chain_data4[[#This Row],[Defect_rates]]&lt;=4,"Medium Defect","High Defect"))</f>
        <v>Low Defect</v>
      </c>
      <c r="AC58" s="1">
        <f>supply_chain_data4[[#This Row],[Production_volumes]]*supply_chain_data4[[#This Row],[Manufacturing_costs]]</f>
        <v>10602.771057159855</v>
      </c>
      <c r="AD58" s="1">
        <f>supply_chain_data4[[#This Row],[Order_quantities]]*supply_chain_data4[[#This Row],[Shipping_costs]]</f>
        <v>147.27766626795437</v>
      </c>
      <c r="AE58" s="1">
        <f>supply_chain_data4[[#This Row],[Revenue_generated ]]-AC58-AD58</f>
        <v>-5983.0282390836719</v>
      </c>
    </row>
    <row r="59" spans="1:31" x14ac:dyDescent="0.3">
      <c r="A59" t="s">
        <v>24</v>
      </c>
      <c r="B59" t="s">
        <v>111</v>
      </c>
      <c r="C59" s="1">
        <v>49.263205350734154</v>
      </c>
      <c r="D59" s="3">
        <v>65</v>
      </c>
      <c r="E59" s="3">
        <v>227</v>
      </c>
      <c r="F59" s="5">
        <v>1605.8669003924058</v>
      </c>
      <c r="G59" t="s">
        <v>38</v>
      </c>
      <c r="H59" s="3">
        <v>5</v>
      </c>
      <c r="I59">
        <v>18</v>
      </c>
      <c r="J59" s="3">
        <v>51</v>
      </c>
      <c r="K59">
        <v>1</v>
      </c>
      <c r="L59" t="s">
        <v>27</v>
      </c>
      <c r="M59" s="1">
        <v>9.1605585353818704</v>
      </c>
      <c r="N59" t="s">
        <v>61</v>
      </c>
      <c r="O59" t="s">
        <v>50</v>
      </c>
      <c r="P59" s="3">
        <v>21</v>
      </c>
      <c r="Q59" s="3">
        <v>588</v>
      </c>
      <c r="R59" s="3">
        <v>25</v>
      </c>
      <c r="S59" s="1">
        <v>67.779622987078142</v>
      </c>
      <c r="T59" t="s">
        <v>30</v>
      </c>
      <c r="U59" s="2">
        <v>2.511174830212707</v>
      </c>
      <c r="V59" t="s">
        <v>47</v>
      </c>
      <c r="W59" t="s">
        <v>48</v>
      </c>
      <c r="X59" s="1">
        <v>482.19123860252813</v>
      </c>
      <c r="Y59" s="1">
        <f>supply_chain_data4[[#This Row],[Revenue_generated ]]/supply_chain_data4[[#This Row],[Number_of_products sold]]</f>
        <v>7.0743035259577347</v>
      </c>
      <c r="Z59" t="str">
        <f>IF(supply_chain_data4[[#This Row],[Stock_levels]]&lt;30,"Low Stock",
IF(supply_chain_data4[[#This Row],[Stock_levels]]&lt;=70,"Medium Stock","High Stock"))</f>
        <v>Low Stock</v>
      </c>
      <c r="AA59" t="str">
        <f>IF(supply_chain_data4[[#This Row],[Lead_time]]&lt;=10,"Short",
IF(supply_chain_data4[[#This Row],[Lead_time]]&lt;=20,"Medium","Long"))</f>
        <v>Long</v>
      </c>
      <c r="AB59" t="str">
        <f>IF(supply_chain_data4[[#This Row],[Defect_rates]]&lt;2,"Low Defect",
IF(supply_chain_data4[[#This Row],[Defect_rates]]&lt;=4,"Medium Defect","High Defect"))</f>
        <v>Medium Defect</v>
      </c>
      <c r="AC59" s="1">
        <f>supply_chain_data4[[#This Row],[Production_volumes]]*supply_chain_data4[[#This Row],[Manufacturing_costs]]</f>
        <v>39854.418316401949</v>
      </c>
      <c r="AD59" s="1">
        <f>supply_chain_data4[[#This Row],[Order_quantities]]*supply_chain_data4[[#This Row],[Shipping_costs]]</f>
        <v>467.18848530447536</v>
      </c>
      <c r="AE59" s="1">
        <f>supply_chain_data4[[#This Row],[Revenue_generated ]]-AC59-AD59</f>
        <v>-38715.739901314017</v>
      </c>
    </row>
    <row r="60" spans="1:31" x14ac:dyDescent="0.3">
      <c r="A60" t="s">
        <v>33</v>
      </c>
      <c r="B60" t="s">
        <v>112</v>
      </c>
      <c r="C60" s="1">
        <v>59.84156137728931</v>
      </c>
      <c r="D60" s="3">
        <v>81</v>
      </c>
      <c r="E60" s="3">
        <v>896</v>
      </c>
      <c r="F60" s="5">
        <v>2021.1498103371077</v>
      </c>
      <c r="G60" t="s">
        <v>26</v>
      </c>
      <c r="H60" s="3">
        <v>10</v>
      </c>
      <c r="I60">
        <v>5</v>
      </c>
      <c r="J60" s="3">
        <v>44</v>
      </c>
      <c r="K60">
        <v>7</v>
      </c>
      <c r="L60" t="s">
        <v>36</v>
      </c>
      <c r="M60" s="1">
        <v>4.9384385647120901</v>
      </c>
      <c r="N60" t="s">
        <v>28</v>
      </c>
      <c r="O60" t="s">
        <v>50</v>
      </c>
      <c r="P60" s="3">
        <v>18</v>
      </c>
      <c r="Q60" s="3">
        <v>396</v>
      </c>
      <c r="R60" s="3">
        <v>7</v>
      </c>
      <c r="S60" s="1">
        <v>65.047415094691459</v>
      </c>
      <c r="T60" t="s">
        <v>46</v>
      </c>
      <c r="U60" s="2">
        <v>1.7303747198591968</v>
      </c>
      <c r="V60" t="s">
        <v>31</v>
      </c>
      <c r="W60" t="s">
        <v>32</v>
      </c>
      <c r="X60" s="1">
        <v>110.36433523136472</v>
      </c>
      <c r="Y60" s="1">
        <f>supply_chain_data4[[#This Row],[Revenue_generated ]]/supply_chain_data4[[#This Row],[Number_of_products sold]]</f>
        <v>2.2557475561798079</v>
      </c>
      <c r="Z60" t="str">
        <f>IF(supply_chain_data4[[#This Row],[Stock_levels]]&lt;30,"Low Stock",
IF(supply_chain_data4[[#This Row],[Stock_levels]]&lt;=70,"Medium Stock","High Stock"))</f>
        <v>Low Stock</v>
      </c>
      <c r="AA60" t="str">
        <f>IF(supply_chain_data4[[#This Row],[Lead_time]]&lt;=10,"Short",
IF(supply_chain_data4[[#This Row],[Lead_time]]&lt;=20,"Medium","Long"))</f>
        <v>Medium</v>
      </c>
      <c r="AB60" t="str">
        <f>IF(supply_chain_data4[[#This Row],[Defect_rates]]&lt;2,"Low Defect",
IF(supply_chain_data4[[#This Row],[Defect_rates]]&lt;=4,"Medium Defect","High Defect"))</f>
        <v>Low Defect</v>
      </c>
      <c r="AC60" s="1">
        <f>supply_chain_data4[[#This Row],[Production_volumes]]*supply_chain_data4[[#This Row],[Manufacturing_costs]]</f>
        <v>25758.776377497819</v>
      </c>
      <c r="AD60" s="1">
        <f>supply_chain_data4[[#This Row],[Order_quantities]]*supply_chain_data4[[#This Row],[Shipping_costs]]</f>
        <v>217.29129684733198</v>
      </c>
      <c r="AE60" s="1">
        <f>supply_chain_data4[[#This Row],[Revenue_generated ]]-AC60-AD60</f>
        <v>-23954.917864008043</v>
      </c>
    </row>
    <row r="61" spans="1:31" x14ac:dyDescent="0.3">
      <c r="A61" t="s">
        <v>57</v>
      </c>
      <c r="B61" t="s">
        <v>113</v>
      </c>
      <c r="C61" s="1">
        <v>63.828398347710966</v>
      </c>
      <c r="D61" s="3">
        <v>30</v>
      </c>
      <c r="E61" s="3">
        <v>484</v>
      </c>
      <c r="F61" s="5">
        <v>1061.618523013288</v>
      </c>
      <c r="G61" t="s">
        <v>26</v>
      </c>
      <c r="H61" s="3">
        <v>100</v>
      </c>
      <c r="I61">
        <v>16</v>
      </c>
      <c r="J61" s="3">
        <v>26</v>
      </c>
      <c r="K61">
        <v>7</v>
      </c>
      <c r="L61" t="s">
        <v>27</v>
      </c>
      <c r="M61" s="1">
        <v>7.2937225968677284</v>
      </c>
      <c r="N61" t="s">
        <v>39</v>
      </c>
      <c r="O61" t="s">
        <v>45</v>
      </c>
      <c r="P61" s="3">
        <v>11</v>
      </c>
      <c r="Q61" s="3">
        <v>176</v>
      </c>
      <c r="R61" s="3">
        <v>4</v>
      </c>
      <c r="S61" s="1">
        <v>1.900762243519458</v>
      </c>
      <c r="T61" t="s">
        <v>46</v>
      </c>
      <c r="U61" s="2">
        <v>0.4471940154638232</v>
      </c>
      <c r="V61" t="s">
        <v>40</v>
      </c>
      <c r="W61" t="s">
        <v>48</v>
      </c>
      <c r="X61" s="1">
        <v>312.57427361009331</v>
      </c>
      <c r="Y61" s="1">
        <f>supply_chain_data4[[#This Row],[Revenue_generated ]]/supply_chain_data4[[#This Row],[Number_of_products sold]]</f>
        <v>2.1934267004406776</v>
      </c>
      <c r="Z61" t="str">
        <f>IF(supply_chain_data4[[#This Row],[Stock_levels]]&lt;30,"Low Stock",
IF(supply_chain_data4[[#This Row],[Stock_levels]]&lt;=70,"Medium Stock","High Stock"))</f>
        <v>High Stock</v>
      </c>
      <c r="AA61" t="str">
        <f>IF(supply_chain_data4[[#This Row],[Lead_time]]&lt;=10,"Short",
IF(supply_chain_data4[[#This Row],[Lead_time]]&lt;=20,"Medium","Long"))</f>
        <v>Medium</v>
      </c>
      <c r="AB61" t="str">
        <f>IF(supply_chain_data4[[#This Row],[Defect_rates]]&lt;2,"Low Defect",
IF(supply_chain_data4[[#This Row],[Defect_rates]]&lt;=4,"Medium Defect","High Defect"))</f>
        <v>Low Defect</v>
      </c>
      <c r="AC61" s="1">
        <f>supply_chain_data4[[#This Row],[Production_volumes]]*supply_chain_data4[[#This Row],[Manufacturing_costs]]</f>
        <v>334.53415485942463</v>
      </c>
      <c r="AD61" s="1">
        <f>supply_chain_data4[[#This Row],[Order_quantities]]*supply_chain_data4[[#This Row],[Shipping_costs]]</f>
        <v>189.63678751856094</v>
      </c>
      <c r="AE61" s="1">
        <f>supply_chain_data4[[#This Row],[Revenue_generated ]]-AC61-AD61</f>
        <v>537.44758063530242</v>
      </c>
    </row>
    <row r="62" spans="1:31" x14ac:dyDescent="0.3">
      <c r="A62" t="s">
        <v>33</v>
      </c>
      <c r="B62" t="s">
        <v>114</v>
      </c>
      <c r="C62" s="1">
        <v>17.028027920188702</v>
      </c>
      <c r="D62" s="3">
        <v>16</v>
      </c>
      <c r="E62" s="3">
        <v>380</v>
      </c>
      <c r="F62" s="5">
        <v>8864.0843495864356</v>
      </c>
      <c r="G62" t="s">
        <v>35</v>
      </c>
      <c r="H62" s="3">
        <v>41</v>
      </c>
      <c r="I62">
        <v>27</v>
      </c>
      <c r="J62" s="3">
        <v>72</v>
      </c>
      <c r="K62">
        <v>8</v>
      </c>
      <c r="L62" t="s">
        <v>43</v>
      </c>
      <c r="M62" s="1">
        <v>4.3813681581023145</v>
      </c>
      <c r="N62" t="s">
        <v>52</v>
      </c>
      <c r="O62" t="s">
        <v>29</v>
      </c>
      <c r="P62" s="3">
        <v>29</v>
      </c>
      <c r="Q62" s="3">
        <v>929</v>
      </c>
      <c r="R62" s="3">
        <v>24</v>
      </c>
      <c r="S62" s="1">
        <v>87.213057815135684</v>
      </c>
      <c r="T62" t="s">
        <v>46</v>
      </c>
      <c r="U62" s="2">
        <v>2.8530906166490539</v>
      </c>
      <c r="V62" t="s">
        <v>47</v>
      </c>
      <c r="W62" t="s">
        <v>48</v>
      </c>
      <c r="X62" s="1">
        <v>430.16909697513654</v>
      </c>
      <c r="Y62" s="1">
        <f>supply_chain_data4[[#This Row],[Revenue_generated ]]/supply_chain_data4[[#This Row],[Number_of_products sold]]</f>
        <v>23.326537762069567</v>
      </c>
      <c r="Z62" t="str">
        <f>IF(supply_chain_data4[[#This Row],[Stock_levels]]&lt;30,"Low Stock",
IF(supply_chain_data4[[#This Row],[Stock_levels]]&lt;=70,"Medium Stock","High Stock"))</f>
        <v>Medium Stock</v>
      </c>
      <c r="AA62" t="str">
        <f>IF(supply_chain_data4[[#This Row],[Lead_time]]&lt;=10,"Short",
IF(supply_chain_data4[[#This Row],[Lead_time]]&lt;=20,"Medium","Long"))</f>
        <v>Long</v>
      </c>
      <c r="AB62" t="str">
        <f>IF(supply_chain_data4[[#This Row],[Defect_rates]]&lt;2,"Low Defect",
IF(supply_chain_data4[[#This Row],[Defect_rates]]&lt;=4,"Medium Defect","High Defect"))</f>
        <v>Medium Defect</v>
      </c>
      <c r="AC62" s="1">
        <f>supply_chain_data4[[#This Row],[Production_volumes]]*supply_chain_data4[[#This Row],[Manufacturing_costs]]</f>
        <v>81020.930710261047</v>
      </c>
      <c r="AD62" s="1">
        <f>supply_chain_data4[[#This Row],[Order_quantities]]*supply_chain_data4[[#This Row],[Shipping_costs]]</f>
        <v>315.45850738336662</v>
      </c>
      <c r="AE62" s="1">
        <f>supply_chain_data4[[#This Row],[Revenue_generated ]]-AC62-AD62</f>
        <v>-72472.304868057981</v>
      </c>
    </row>
    <row r="63" spans="1:31" x14ac:dyDescent="0.3">
      <c r="A63" t="s">
        <v>24</v>
      </c>
      <c r="B63" t="s">
        <v>115</v>
      </c>
      <c r="C63" s="1">
        <v>52.028749903294923</v>
      </c>
      <c r="D63" s="3">
        <v>23</v>
      </c>
      <c r="E63" s="3">
        <v>117</v>
      </c>
      <c r="F63" s="5">
        <v>6885.5893508962527</v>
      </c>
      <c r="G63" t="s">
        <v>38</v>
      </c>
      <c r="H63" s="3">
        <v>32</v>
      </c>
      <c r="I63">
        <v>23</v>
      </c>
      <c r="J63" s="3">
        <v>36</v>
      </c>
      <c r="K63">
        <v>7</v>
      </c>
      <c r="L63" t="s">
        <v>43</v>
      </c>
      <c r="M63" s="1">
        <v>9.0303404225219488</v>
      </c>
      <c r="N63" t="s">
        <v>52</v>
      </c>
      <c r="O63" t="s">
        <v>45</v>
      </c>
      <c r="P63" s="3">
        <v>14</v>
      </c>
      <c r="Q63" s="3">
        <v>480</v>
      </c>
      <c r="R63" s="3">
        <v>12</v>
      </c>
      <c r="S63" s="1">
        <v>78.702393968878894</v>
      </c>
      <c r="T63" t="s">
        <v>46</v>
      </c>
      <c r="U63" s="2">
        <v>4.3674705382050529</v>
      </c>
      <c r="V63" t="s">
        <v>40</v>
      </c>
      <c r="W63" t="s">
        <v>48</v>
      </c>
      <c r="X63" s="1">
        <v>164.36652824341942</v>
      </c>
      <c r="Y63" s="1">
        <f>supply_chain_data4[[#This Row],[Revenue_generated ]]/supply_chain_data4[[#This Row],[Number_of_products sold]]</f>
        <v>58.851191033301305</v>
      </c>
      <c r="Z63" t="str">
        <f>IF(supply_chain_data4[[#This Row],[Stock_levels]]&lt;30,"Low Stock",
IF(supply_chain_data4[[#This Row],[Stock_levels]]&lt;=70,"Medium Stock","High Stock"))</f>
        <v>Medium Stock</v>
      </c>
      <c r="AA63" t="str">
        <f>IF(supply_chain_data4[[#This Row],[Lead_time]]&lt;=10,"Short",
IF(supply_chain_data4[[#This Row],[Lead_time]]&lt;=20,"Medium","Long"))</f>
        <v>Medium</v>
      </c>
      <c r="AB63" t="str">
        <f>IF(supply_chain_data4[[#This Row],[Defect_rates]]&lt;2,"Low Defect",
IF(supply_chain_data4[[#This Row],[Defect_rates]]&lt;=4,"Medium Defect","High Defect"))</f>
        <v>High Defect</v>
      </c>
      <c r="AC63" s="1">
        <f>supply_chain_data4[[#This Row],[Production_volumes]]*supply_chain_data4[[#This Row],[Manufacturing_costs]]</f>
        <v>37777.149105061872</v>
      </c>
      <c r="AD63" s="1">
        <f>supply_chain_data4[[#This Row],[Order_quantities]]*supply_chain_data4[[#This Row],[Shipping_costs]]</f>
        <v>325.09225521079014</v>
      </c>
      <c r="AE63" s="1">
        <f>supply_chain_data4[[#This Row],[Revenue_generated ]]-AC63-AD63</f>
        <v>-31216.652009376408</v>
      </c>
    </row>
    <row r="64" spans="1:31" x14ac:dyDescent="0.3">
      <c r="A64" t="s">
        <v>57</v>
      </c>
      <c r="B64" t="s">
        <v>116</v>
      </c>
      <c r="C64" s="1">
        <v>72.796353955587364</v>
      </c>
      <c r="D64" s="3">
        <v>89</v>
      </c>
      <c r="E64" s="3">
        <v>270</v>
      </c>
      <c r="F64" s="5">
        <v>3899.7468337292244</v>
      </c>
      <c r="G64" t="s">
        <v>38</v>
      </c>
      <c r="H64" s="3">
        <v>86</v>
      </c>
      <c r="I64">
        <v>2</v>
      </c>
      <c r="J64" s="3">
        <v>40</v>
      </c>
      <c r="K64">
        <v>7</v>
      </c>
      <c r="L64" t="s">
        <v>43</v>
      </c>
      <c r="M64" s="1">
        <v>7.2917013887767759</v>
      </c>
      <c r="N64" t="s">
        <v>61</v>
      </c>
      <c r="O64" t="s">
        <v>29</v>
      </c>
      <c r="P64" s="3">
        <v>13</v>
      </c>
      <c r="Q64" s="3">
        <v>751</v>
      </c>
      <c r="R64" s="3">
        <v>14</v>
      </c>
      <c r="S64" s="1">
        <v>21.048642725168644</v>
      </c>
      <c r="T64" t="s">
        <v>64</v>
      </c>
      <c r="U64" s="2">
        <v>1.8740014040443747</v>
      </c>
      <c r="V64" t="s">
        <v>56</v>
      </c>
      <c r="W64" t="s">
        <v>41</v>
      </c>
      <c r="X64" s="1">
        <v>320.84651575911158</v>
      </c>
      <c r="Y64" s="1">
        <f>supply_chain_data4[[#This Row],[Revenue_generated ]]/supply_chain_data4[[#This Row],[Number_of_products sold]]</f>
        <v>14.443506791589719</v>
      </c>
      <c r="Z64" t="str">
        <f>IF(supply_chain_data4[[#This Row],[Stock_levels]]&lt;30,"Low Stock",
IF(supply_chain_data4[[#This Row],[Stock_levels]]&lt;=70,"Medium Stock","High Stock"))</f>
        <v>High Stock</v>
      </c>
      <c r="AA64" t="str">
        <f>IF(supply_chain_data4[[#This Row],[Lead_time]]&lt;=10,"Short",
IF(supply_chain_data4[[#This Row],[Lead_time]]&lt;=20,"Medium","Long"))</f>
        <v>Medium</v>
      </c>
      <c r="AB64" t="str">
        <f>IF(supply_chain_data4[[#This Row],[Defect_rates]]&lt;2,"Low Defect",
IF(supply_chain_data4[[#This Row],[Defect_rates]]&lt;=4,"Medium Defect","High Defect"))</f>
        <v>Low Defect</v>
      </c>
      <c r="AC64" s="1">
        <f>supply_chain_data4[[#This Row],[Production_volumes]]*supply_chain_data4[[#This Row],[Manufacturing_costs]]</f>
        <v>15807.530686601653</v>
      </c>
      <c r="AD64" s="1">
        <f>supply_chain_data4[[#This Row],[Order_quantities]]*supply_chain_data4[[#This Row],[Shipping_costs]]</f>
        <v>291.66805555107101</v>
      </c>
      <c r="AE64" s="1">
        <f>supply_chain_data4[[#This Row],[Revenue_generated ]]-AC64-AD64</f>
        <v>-12199.451908423498</v>
      </c>
    </row>
    <row r="65" spans="1:31" x14ac:dyDescent="0.3">
      <c r="A65" t="s">
        <v>33</v>
      </c>
      <c r="B65" t="s">
        <v>117</v>
      </c>
      <c r="C65" s="1">
        <v>13.017376785287857</v>
      </c>
      <c r="D65" s="3">
        <v>55</v>
      </c>
      <c r="E65" s="3">
        <v>246</v>
      </c>
      <c r="F65" s="5">
        <v>4256.9491408502254</v>
      </c>
      <c r="G65" t="s">
        <v>26</v>
      </c>
      <c r="H65" s="3">
        <v>54</v>
      </c>
      <c r="I65">
        <v>19</v>
      </c>
      <c r="J65" s="3">
        <v>10</v>
      </c>
      <c r="K65">
        <v>4</v>
      </c>
      <c r="L65" t="s">
        <v>36</v>
      </c>
      <c r="M65" s="1">
        <v>2.45793352798733</v>
      </c>
      <c r="N65" t="s">
        <v>28</v>
      </c>
      <c r="O65" t="s">
        <v>53</v>
      </c>
      <c r="P65" s="3">
        <v>18</v>
      </c>
      <c r="Q65" s="3">
        <v>736</v>
      </c>
      <c r="R65" s="3">
        <v>10</v>
      </c>
      <c r="S65" s="1">
        <v>20.075003975630484</v>
      </c>
      <c r="T65" t="s">
        <v>30</v>
      </c>
      <c r="U65" s="2">
        <v>3.6328432903821337</v>
      </c>
      <c r="V65" t="s">
        <v>56</v>
      </c>
      <c r="W65" t="s">
        <v>48</v>
      </c>
      <c r="X65" s="1">
        <v>687.28617786641735</v>
      </c>
      <c r="Y65" s="1">
        <f>supply_chain_data4[[#This Row],[Revenue_generated ]]/supply_chain_data4[[#This Row],[Number_of_products sold]]</f>
        <v>17.30467130426921</v>
      </c>
      <c r="Z65" t="str">
        <f>IF(supply_chain_data4[[#This Row],[Stock_levels]]&lt;30,"Low Stock",
IF(supply_chain_data4[[#This Row],[Stock_levels]]&lt;=70,"Medium Stock","High Stock"))</f>
        <v>Medium Stock</v>
      </c>
      <c r="AA65" t="str">
        <f>IF(supply_chain_data4[[#This Row],[Lead_time]]&lt;=10,"Short",
IF(supply_chain_data4[[#This Row],[Lead_time]]&lt;=20,"Medium","Long"))</f>
        <v>Medium</v>
      </c>
      <c r="AB65" t="str">
        <f>IF(supply_chain_data4[[#This Row],[Defect_rates]]&lt;2,"Low Defect",
IF(supply_chain_data4[[#This Row],[Defect_rates]]&lt;=4,"Medium Defect","High Defect"))</f>
        <v>Medium Defect</v>
      </c>
      <c r="AC65" s="1">
        <f>supply_chain_data4[[#This Row],[Production_volumes]]*supply_chain_data4[[#This Row],[Manufacturing_costs]]</f>
        <v>14775.202926064036</v>
      </c>
      <c r="AD65" s="1">
        <f>supply_chain_data4[[#This Row],[Order_quantities]]*supply_chain_data4[[#This Row],[Shipping_costs]]</f>
        <v>24.579335279873298</v>
      </c>
      <c r="AE65" s="1">
        <f>supply_chain_data4[[#This Row],[Revenue_generated ]]-AC65-AD65</f>
        <v>-10542.833120493684</v>
      </c>
    </row>
    <row r="66" spans="1:31" x14ac:dyDescent="0.3">
      <c r="A66" t="s">
        <v>33</v>
      </c>
      <c r="B66" t="s">
        <v>118</v>
      </c>
      <c r="C66" s="1">
        <v>89.634095608135326</v>
      </c>
      <c r="D66" s="3">
        <v>11</v>
      </c>
      <c r="E66" s="3">
        <v>134</v>
      </c>
      <c r="F66" s="5">
        <v>8458.7308783671779</v>
      </c>
      <c r="G66" t="s">
        <v>35</v>
      </c>
      <c r="H66" s="3">
        <v>73</v>
      </c>
      <c r="I66">
        <v>27</v>
      </c>
      <c r="J66" s="3">
        <v>75</v>
      </c>
      <c r="K66">
        <v>6</v>
      </c>
      <c r="L66" t="s">
        <v>43</v>
      </c>
      <c r="M66" s="1">
        <v>4.5853534681946524</v>
      </c>
      <c r="N66" t="s">
        <v>39</v>
      </c>
      <c r="O66" t="s">
        <v>50</v>
      </c>
      <c r="P66" s="3">
        <v>17</v>
      </c>
      <c r="Q66" s="3">
        <v>328</v>
      </c>
      <c r="R66" s="3">
        <v>6</v>
      </c>
      <c r="S66" s="1">
        <v>8.6930424258772874</v>
      </c>
      <c r="T66" t="s">
        <v>46</v>
      </c>
      <c r="U66" s="2">
        <v>0.15948631471751462</v>
      </c>
      <c r="V66" t="s">
        <v>40</v>
      </c>
      <c r="W66" t="s">
        <v>41</v>
      </c>
      <c r="X66" s="1">
        <v>771.22508468115745</v>
      </c>
      <c r="Y66" s="1">
        <f>supply_chain_data4[[#This Row],[Revenue_generated ]]/supply_chain_data4[[#This Row],[Number_of_products sold]]</f>
        <v>63.124857301247594</v>
      </c>
      <c r="Z66" t="str">
        <f>IF(supply_chain_data4[[#This Row],[Stock_levels]]&lt;30,"Low Stock",
IF(supply_chain_data4[[#This Row],[Stock_levels]]&lt;=70,"Medium Stock","High Stock"))</f>
        <v>High Stock</v>
      </c>
      <c r="AA66" t="str">
        <f>IF(supply_chain_data4[[#This Row],[Lead_time]]&lt;=10,"Short",
IF(supply_chain_data4[[#This Row],[Lead_time]]&lt;=20,"Medium","Long"))</f>
        <v>Medium</v>
      </c>
      <c r="AB66" t="str">
        <f>IF(supply_chain_data4[[#This Row],[Defect_rates]]&lt;2,"Low Defect",
IF(supply_chain_data4[[#This Row],[Defect_rates]]&lt;=4,"Medium Defect","High Defect"))</f>
        <v>Low Defect</v>
      </c>
      <c r="AC66" s="1">
        <f>supply_chain_data4[[#This Row],[Production_volumes]]*supply_chain_data4[[#This Row],[Manufacturing_costs]]</f>
        <v>2851.3179156877504</v>
      </c>
      <c r="AD66" s="1">
        <f>supply_chain_data4[[#This Row],[Order_quantities]]*supply_chain_data4[[#This Row],[Shipping_costs]]</f>
        <v>343.90151011459892</v>
      </c>
      <c r="AE66" s="1">
        <f>supply_chain_data4[[#This Row],[Revenue_generated ]]-AC66-AD66</f>
        <v>5263.5114525648287</v>
      </c>
    </row>
    <row r="67" spans="1:31" x14ac:dyDescent="0.3">
      <c r="A67" t="s">
        <v>33</v>
      </c>
      <c r="B67" t="s">
        <v>119</v>
      </c>
      <c r="C67" s="1">
        <v>33.697717206643127</v>
      </c>
      <c r="D67" s="3">
        <v>72</v>
      </c>
      <c r="E67" s="3">
        <v>457</v>
      </c>
      <c r="F67" s="5">
        <v>8354.5796864819949</v>
      </c>
      <c r="G67" t="s">
        <v>55</v>
      </c>
      <c r="H67" s="3">
        <v>57</v>
      </c>
      <c r="I67">
        <v>24</v>
      </c>
      <c r="J67" s="3">
        <v>54</v>
      </c>
      <c r="K67">
        <v>8</v>
      </c>
      <c r="L67" t="s">
        <v>43</v>
      </c>
      <c r="M67" s="1">
        <v>6.5805413478845951</v>
      </c>
      <c r="N67" t="s">
        <v>44</v>
      </c>
      <c r="O67" t="s">
        <v>45</v>
      </c>
      <c r="P67" s="3">
        <v>16</v>
      </c>
      <c r="Q67" s="3">
        <v>358</v>
      </c>
      <c r="R67" s="3">
        <v>21</v>
      </c>
      <c r="S67" s="1">
        <v>1.5972227430506774</v>
      </c>
      <c r="T67" t="s">
        <v>46</v>
      </c>
      <c r="U67" s="2">
        <v>4.911095954842331</v>
      </c>
      <c r="V67" t="s">
        <v>47</v>
      </c>
      <c r="W67" t="s">
        <v>41</v>
      </c>
      <c r="X67" s="1">
        <v>555.85910367174347</v>
      </c>
      <c r="Y67" s="1">
        <f>supply_chain_data4[[#This Row],[Revenue_generated ]]/supply_chain_data4[[#This Row],[Number_of_products sold]]</f>
        <v>18.28135598792559</v>
      </c>
      <c r="Z67" t="str">
        <f>IF(supply_chain_data4[[#This Row],[Stock_levels]]&lt;30,"Low Stock",
IF(supply_chain_data4[[#This Row],[Stock_levels]]&lt;=70,"Medium Stock","High Stock"))</f>
        <v>Medium Stock</v>
      </c>
      <c r="AA67" t="str">
        <f>IF(supply_chain_data4[[#This Row],[Lead_time]]&lt;=10,"Short",
IF(supply_chain_data4[[#This Row],[Lead_time]]&lt;=20,"Medium","Long"))</f>
        <v>Medium</v>
      </c>
      <c r="AB67" t="str">
        <f>IF(supply_chain_data4[[#This Row],[Defect_rates]]&lt;2,"Low Defect",
IF(supply_chain_data4[[#This Row],[Defect_rates]]&lt;=4,"Medium Defect","High Defect"))</f>
        <v>High Defect</v>
      </c>
      <c r="AC67" s="1">
        <f>supply_chain_data4[[#This Row],[Production_volumes]]*supply_chain_data4[[#This Row],[Manufacturing_costs]]</f>
        <v>571.80574201214245</v>
      </c>
      <c r="AD67" s="1">
        <f>supply_chain_data4[[#This Row],[Order_quantities]]*supply_chain_data4[[#This Row],[Shipping_costs]]</f>
        <v>355.34923278576815</v>
      </c>
      <c r="AE67" s="1">
        <f>supply_chain_data4[[#This Row],[Revenue_generated ]]-AC67-AD67</f>
        <v>7427.4247116840843</v>
      </c>
    </row>
    <row r="68" spans="1:31" x14ac:dyDescent="0.3">
      <c r="A68" t="s">
        <v>33</v>
      </c>
      <c r="B68" t="s">
        <v>120</v>
      </c>
      <c r="C68" s="1">
        <v>26.034869773962086</v>
      </c>
      <c r="D68" s="3">
        <v>52</v>
      </c>
      <c r="E68" s="3">
        <v>704</v>
      </c>
      <c r="F68" s="5">
        <v>8367.721618020154</v>
      </c>
      <c r="G68" t="s">
        <v>35</v>
      </c>
      <c r="H68" s="3">
        <v>13</v>
      </c>
      <c r="I68">
        <v>17</v>
      </c>
      <c r="J68" s="3">
        <v>19</v>
      </c>
      <c r="K68">
        <v>8</v>
      </c>
      <c r="L68" t="s">
        <v>36</v>
      </c>
      <c r="M68" s="1">
        <v>2.2161427287713633</v>
      </c>
      <c r="N68" t="s">
        <v>44</v>
      </c>
      <c r="O68" t="s">
        <v>45</v>
      </c>
      <c r="P68" s="3">
        <v>24</v>
      </c>
      <c r="Q68" s="3">
        <v>867</v>
      </c>
      <c r="R68" s="3">
        <v>28</v>
      </c>
      <c r="S68" s="1">
        <v>42.084436738309961</v>
      </c>
      <c r="T68" t="s">
        <v>46</v>
      </c>
      <c r="U68" s="2">
        <v>3.4480632883402618</v>
      </c>
      <c r="V68" t="s">
        <v>31</v>
      </c>
      <c r="W68" t="s">
        <v>48</v>
      </c>
      <c r="X68" s="1">
        <v>393.84334857842788</v>
      </c>
      <c r="Y68" s="1">
        <f>supply_chain_data4[[#This Row],[Revenue_generated ]]/supply_chain_data4[[#This Row],[Number_of_products sold]]</f>
        <v>11.885968207414992</v>
      </c>
      <c r="Z68" t="str">
        <f>IF(supply_chain_data4[[#This Row],[Stock_levels]]&lt;30,"Low Stock",
IF(supply_chain_data4[[#This Row],[Stock_levels]]&lt;=70,"Medium Stock","High Stock"))</f>
        <v>Low Stock</v>
      </c>
      <c r="AA68" t="str">
        <f>IF(supply_chain_data4[[#This Row],[Lead_time]]&lt;=10,"Short",
IF(supply_chain_data4[[#This Row],[Lead_time]]&lt;=20,"Medium","Long"))</f>
        <v>Long</v>
      </c>
      <c r="AB68" t="str">
        <f>IF(supply_chain_data4[[#This Row],[Defect_rates]]&lt;2,"Low Defect",
IF(supply_chain_data4[[#This Row],[Defect_rates]]&lt;=4,"Medium Defect","High Defect"))</f>
        <v>Medium Defect</v>
      </c>
      <c r="AC68" s="1">
        <f>supply_chain_data4[[#This Row],[Production_volumes]]*supply_chain_data4[[#This Row],[Manufacturing_costs]]</f>
        <v>36487.206652114735</v>
      </c>
      <c r="AD68" s="1">
        <f>supply_chain_data4[[#This Row],[Order_quantities]]*supply_chain_data4[[#This Row],[Shipping_costs]]</f>
        <v>42.106711846655905</v>
      </c>
      <c r="AE68" s="1">
        <f>supply_chain_data4[[#This Row],[Revenue_generated ]]-AC68-AD68</f>
        <v>-28161.591745941238</v>
      </c>
    </row>
    <row r="69" spans="1:31" x14ac:dyDescent="0.3">
      <c r="A69" t="s">
        <v>33</v>
      </c>
      <c r="B69" t="s">
        <v>121</v>
      </c>
      <c r="C69" s="1">
        <v>87.755432354001073</v>
      </c>
      <c r="D69" s="3">
        <v>16</v>
      </c>
      <c r="E69" s="3">
        <v>513</v>
      </c>
      <c r="F69" s="5">
        <v>9473.7980325083372</v>
      </c>
      <c r="G69" t="s">
        <v>38</v>
      </c>
      <c r="H69" s="3">
        <v>12</v>
      </c>
      <c r="I69">
        <v>9</v>
      </c>
      <c r="J69" s="3">
        <v>71</v>
      </c>
      <c r="K69">
        <v>9</v>
      </c>
      <c r="L69" t="s">
        <v>43</v>
      </c>
      <c r="M69" s="1">
        <v>9.147811544710633</v>
      </c>
      <c r="N69" t="s">
        <v>39</v>
      </c>
      <c r="O69" t="s">
        <v>29</v>
      </c>
      <c r="P69" s="3">
        <v>10</v>
      </c>
      <c r="Q69" s="3">
        <v>198</v>
      </c>
      <c r="R69" s="3">
        <v>11</v>
      </c>
      <c r="S69" s="1">
        <v>7.0578761469782307</v>
      </c>
      <c r="T69" t="s">
        <v>64</v>
      </c>
      <c r="U69" s="2">
        <v>0.13195544431181483</v>
      </c>
      <c r="V69" t="s">
        <v>56</v>
      </c>
      <c r="W69" t="s">
        <v>41</v>
      </c>
      <c r="X69" s="1">
        <v>169.2718013847869</v>
      </c>
      <c r="Y69" s="1">
        <f>supply_chain_data4[[#This Row],[Revenue_generated ]]/supply_chain_data4[[#This Row],[Number_of_products sold]]</f>
        <v>18.467442558495783</v>
      </c>
      <c r="Z69" t="str">
        <f>IF(supply_chain_data4[[#This Row],[Stock_levels]]&lt;30,"Low Stock",
IF(supply_chain_data4[[#This Row],[Stock_levels]]&lt;=70,"Medium Stock","High Stock"))</f>
        <v>Low Stock</v>
      </c>
      <c r="AA69" t="str">
        <f>IF(supply_chain_data4[[#This Row],[Lead_time]]&lt;=10,"Short",
IF(supply_chain_data4[[#This Row],[Lead_time]]&lt;=20,"Medium","Long"))</f>
        <v>Short</v>
      </c>
      <c r="AB69" t="str">
        <f>IF(supply_chain_data4[[#This Row],[Defect_rates]]&lt;2,"Low Defect",
IF(supply_chain_data4[[#This Row],[Defect_rates]]&lt;=4,"Medium Defect","High Defect"))</f>
        <v>Low Defect</v>
      </c>
      <c r="AC69" s="1">
        <f>supply_chain_data4[[#This Row],[Production_volumes]]*supply_chain_data4[[#This Row],[Manufacturing_costs]]</f>
        <v>1397.4594771016896</v>
      </c>
      <c r="AD69" s="1">
        <f>supply_chain_data4[[#This Row],[Order_quantities]]*supply_chain_data4[[#This Row],[Shipping_costs]]</f>
        <v>649.49461967445495</v>
      </c>
      <c r="AE69" s="1">
        <f>supply_chain_data4[[#This Row],[Revenue_generated ]]-AC69-AD69</f>
        <v>7426.8439357321931</v>
      </c>
    </row>
    <row r="70" spans="1:31" x14ac:dyDescent="0.3">
      <c r="A70" t="s">
        <v>24</v>
      </c>
      <c r="B70" t="s">
        <v>122</v>
      </c>
      <c r="C70" s="1">
        <v>37.931812382790319</v>
      </c>
      <c r="D70" s="3">
        <v>29</v>
      </c>
      <c r="E70" s="3">
        <v>163</v>
      </c>
      <c r="F70" s="5">
        <v>3550.2184327809919</v>
      </c>
      <c r="G70" t="s">
        <v>26</v>
      </c>
      <c r="H70" s="3">
        <v>0</v>
      </c>
      <c r="I70">
        <v>8</v>
      </c>
      <c r="J70" s="3">
        <v>58</v>
      </c>
      <c r="K70">
        <v>8</v>
      </c>
      <c r="L70" t="s">
        <v>27</v>
      </c>
      <c r="M70" s="1">
        <v>1.1942518648849991</v>
      </c>
      <c r="N70" t="s">
        <v>61</v>
      </c>
      <c r="O70" t="s">
        <v>53</v>
      </c>
      <c r="P70" s="3">
        <v>2</v>
      </c>
      <c r="Q70" s="3">
        <v>375</v>
      </c>
      <c r="R70" s="3">
        <v>18</v>
      </c>
      <c r="S70" s="1">
        <v>97.113581563462205</v>
      </c>
      <c r="T70" t="s">
        <v>46</v>
      </c>
      <c r="U70" s="2">
        <v>1.9834678721741801</v>
      </c>
      <c r="V70" t="s">
        <v>47</v>
      </c>
      <c r="W70" t="s">
        <v>48</v>
      </c>
      <c r="X70" s="1">
        <v>299.70630311810316</v>
      </c>
      <c r="Y70" s="1">
        <f>supply_chain_data4[[#This Row],[Revenue_generated ]]/supply_chain_data4[[#This Row],[Number_of_products sold]]</f>
        <v>21.780481182705472</v>
      </c>
      <c r="Z70" t="str">
        <f>IF(supply_chain_data4[[#This Row],[Stock_levels]]&lt;30,"Low Stock",
IF(supply_chain_data4[[#This Row],[Stock_levels]]&lt;=70,"Medium Stock","High Stock"))</f>
        <v>Low Stock</v>
      </c>
      <c r="AA70" t="str">
        <f>IF(supply_chain_data4[[#This Row],[Lead_time]]&lt;=10,"Short",
IF(supply_chain_data4[[#This Row],[Lead_time]]&lt;=20,"Medium","Long"))</f>
        <v>Short</v>
      </c>
      <c r="AB70" t="str">
        <f>IF(supply_chain_data4[[#This Row],[Defect_rates]]&lt;2,"Low Defect",
IF(supply_chain_data4[[#This Row],[Defect_rates]]&lt;=4,"Medium Defect","High Defect"))</f>
        <v>Low Defect</v>
      </c>
      <c r="AC70" s="1">
        <f>supply_chain_data4[[#This Row],[Production_volumes]]*supply_chain_data4[[#This Row],[Manufacturing_costs]]</f>
        <v>36417.59308629833</v>
      </c>
      <c r="AD70" s="1">
        <f>supply_chain_data4[[#This Row],[Order_quantities]]*supply_chain_data4[[#This Row],[Shipping_costs]]</f>
        <v>69.266608163329948</v>
      </c>
      <c r="AE70" s="1">
        <f>supply_chain_data4[[#This Row],[Revenue_generated ]]-AC70-AD70</f>
        <v>-32936.64126168067</v>
      </c>
    </row>
    <row r="71" spans="1:31" x14ac:dyDescent="0.3">
      <c r="A71" t="s">
        <v>33</v>
      </c>
      <c r="B71" t="s">
        <v>123</v>
      </c>
      <c r="C71" s="1">
        <v>54.865528517069791</v>
      </c>
      <c r="D71" s="3">
        <v>62</v>
      </c>
      <c r="E71" s="3">
        <v>511</v>
      </c>
      <c r="F71" s="5">
        <v>1752.3810874841247</v>
      </c>
      <c r="G71" t="s">
        <v>26</v>
      </c>
      <c r="H71" s="3">
        <v>95</v>
      </c>
      <c r="I71">
        <v>1</v>
      </c>
      <c r="J71" s="3">
        <v>27</v>
      </c>
      <c r="K71">
        <v>3</v>
      </c>
      <c r="L71" t="s">
        <v>27</v>
      </c>
      <c r="M71" s="1">
        <v>9.7052867901203488</v>
      </c>
      <c r="N71" t="s">
        <v>52</v>
      </c>
      <c r="O71" t="s">
        <v>45</v>
      </c>
      <c r="P71" s="3">
        <v>9</v>
      </c>
      <c r="Q71" s="3">
        <v>862</v>
      </c>
      <c r="R71" s="3">
        <v>7</v>
      </c>
      <c r="S71" s="1">
        <v>77.627765812748166</v>
      </c>
      <c r="T71" t="s">
        <v>30</v>
      </c>
      <c r="U71" s="2">
        <v>1.3623879886491086</v>
      </c>
      <c r="V71" t="s">
        <v>40</v>
      </c>
      <c r="W71" t="s">
        <v>48</v>
      </c>
      <c r="X71" s="1">
        <v>207.66320620857562</v>
      </c>
      <c r="Y71" s="1">
        <f>supply_chain_data4[[#This Row],[Revenue_generated ]]/supply_chain_data4[[#This Row],[Number_of_products sold]]</f>
        <v>3.4293171966421228</v>
      </c>
      <c r="Z71" t="str">
        <f>IF(supply_chain_data4[[#This Row],[Stock_levels]]&lt;30,"Low Stock",
IF(supply_chain_data4[[#This Row],[Stock_levels]]&lt;=70,"Medium Stock","High Stock"))</f>
        <v>High Stock</v>
      </c>
      <c r="AA71" t="str">
        <f>IF(supply_chain_data4[[#This Row],[Lead_time]]&lt;=10,"Short",
IF(supply_chain_data4[[#This Row],[Lead_time]]&lt;=20,"Medium","Long"))</f>
        <v>Short</v>
      </c>
      <c r="AB71" t="str">
        <f>IF(supply_chain_data4[[#This Row],[Defect_rates]]&lt;2,"Low Defect",
IF(supply_chain_data4[[#This Row],[Defect_rates]]&lt;=4,"Medium Defect","High Defect"))</f>
        <v>Low Defect</v>
      </c>
      <c r="AC71" s="1">
        <f>supply_chain_data4[[#This Row],[Production_volumes]]*supply_chain_data4[[#This Row],[Manufacturing_costs]]</f>
        <v>66915.134130588922</v>
      </c>
      <c r="AD71" s="1">
        <f>supply_chain_data4[[#This Row],[Order_quantities]]*supply_chain_data4[[#This Row],[Shipping_costs]]</f>
        <v>262.0427433332494</v>
      </c>
      <c r="AE71" s="1">
        <f>supply_chain_data4[[#This Row],[Revenue_generated ]]-AC71-AD71</f>
        <v>-65424.795786438051</v>
      </c>
    </row>
    <row r="72" spans="1:31" x14ac:dyDescent="0.3">
      <c r="A72" t="s">
        <v>24</v>
      </c>
      <c r="B72" t="s">
        <v>124</v>
      </c>
      <c r="C72" s="1">
        <v>47.914541824058766</v>
      </c>
      <c r="D72" s="3">
        <v>90</v>
      </c>
      <c r="E72" s="3">
        <v>32</v>
      </c>
      <c r="F72" s="5">
        <v>7014.8879872033885</v>
      </c>
      <c r="G72" t="s">
        <v>35</v>
      </c>
      <c r="H72" s="3">
        <v>10</v>
      </c>
      <c r="I72">
        <v>12</v>
      </c>
      <c r="J72" s="3">
        <v>22</v>
      </c>
      <c r="K72">
        <v>4</v>
      </c>
      <c r="L72" t="s">
        <v>27</v>
      </c>
      <c r="M72" s="1">
        <v>6.3157177546007226</v>
      </c>
      <c r="N72" t="s">
        <v>39</v>
      </c>
      <c r="O72" t="s">
        <v>53</v>
      </c>
      <c r="P72" s="3">
        <v>22</v>
      </c>
      <c r="Q72" s="3">
        <v>775</v>
      </c>
      <c r="R72" s="3">
        <v>16</v>
      </c>
      <c r="S72" s="1">
        <v>11.440781823761265</v>
      </c>
      <c r="T72" t="s">
        <v>64</v>
      </c>
      <c r="U72" s="2">
        <v>1.8305755986122314</v>
      </c>
      <c r="V72" t="s">
        <v>31</v>
      </c>
      <c r="W72" t="s">
        <v>41</v>
      </c>
      <c r="X72" s="1">
        <v>183.27289874871101</v>
      </c>
      <c r="Y72" s="1">
        <f>supply_chain_data4[[#This Row],[Revenue_generated ]]/supply_chain_data4[[#This Row],[Number_of_products sold]]</f>
        <v>219.21524960010589</v>
      </c>
      <c r="Z72" t="str">
        <f>IF(supply_chain_data4[[#This Row],[Stock_levels]]&lt;30,"Low Stock",
IF(supply_chain_data4[[#This Row],[Stock_levels]]&lt;=70,"Medium Stock","High Stock"))</f>
        <v>Low Stock</v>
      </c>
      <c r="AA72" t="str">
        <f>IF(supply_chain_data4[[#This Row],[Lead_time]]&lt;=10,"Short",
IF(supply_chain_data4[[#This Row],[Lead_time]]&lt;=20,"Medium","Long"))</f>
        <v>Long</v>
      </c>
      <c r="AB72" t="str">
        <f>IF(supply_chain_data4[[#This Row],[Defect_rates]]&lt;2,"Low Defect",
IF(supply_chain_data4[[#This Row],[Defect_rates]]&lt;=4,"Medium Defect","High Defect"))</f>
        <v>Low Defect</v>
      </c>
      <c r="AC72" s="1">
        <f>supply_chain_data4[[#This Row],[Production_volumes]]*supply_chain_data4[[#This Row],[Manufacturing_costs]]</f>
        <v>8866.60591341498</v>
      </c>
      <c r="AD72" s="1">
        <f>supply_chain_data4[[#This Row],[Order_quantities]]*supply_chain_data4[[#This Row],[Shipping_costs]]</f>
        <v>138.94579060121589</v>
      </c>
      <c r="AE72" s="1">
        <f>supply_chain_data4[[#This Row],[Revenue_generated ]]-AC72-AD72</f>
        <v>-1990.6637168128073</v>
      </c>
    </row>
    <row r="73" spans="1:31" x14ac:dyDescent="0.3">
      <c r="A73" t="s">
        <v>57</v>
      </c>
      <c r="B73" t="s">
        <v>125</v>
      </c>
      <c r="C73" s="1">
        <v>6.3815331627479663</v>
      </c>
      <c r="D73" s="3">
        <v>14</v>
      </c>
      <c r="E73" s="3">
        <v>637</v>
      </c>
      <c r="F73" s="5">
        <v>8180.3370854254426</v>
      </c>
      <c r="G73" t="s">
        <v>35</v>
      </c>
      <c r="H73" s="3">
        <v>76</v>
      </c>
      <c r="I73">
        <v>2</v>
      </c>
      <c r="J73" s="3">
        <v>26</v>
      </c>
      <c r="K73">
        <v>6</v>
      </c>
      <c r="L73" t="s">
        <v>36</v>
      </c>
      <c r="M73" s="1">
        <v>9.2281903170525172</v>
      </c>
      <c r="N73" t="s">
        <v>61</v>
      </c>
      <c r="O73" t="s">
        <v>53</v>
      </c>
      <c r="P73" s="3">
        <v>2</v>
      </c>
      <c r="Q73" s="3">
        <v>258</v>
      </c>
      <c r="R73" s="3">
        <v>10</v>
      </c>
      <c r="S73" s="1">
        <v>30.661677477859556</v>
      </c>
      <c r="T73" t="s">
        <v>30</v>
      </c>
      <c r="U73" s="2">
        <v>2.0787506078749689</v>
      </c>
      <c r="V73" t="s">
        <v>31</v>
      </c>
      <c r="W73" t="s">
        <v>48</v>
      </c>
      <c r="X73" s="1">
        <v>405.16706788885585</v>
      </c>
      <c r="Y73" s="1">
        <f>supply_chain_data4[[#This Row],[Revenue_generated ]]/supply_chain_data4[[#This Row],[Number_of_products sold]]</f>
        <v>12.84197344650776</v>
      </c>
      <c r="Z73" t="str">
        <f>IF(supply_chain_data4[[#This Row],[Stock_levels]]&lt;30,"Low Stock",
IF(supply_chain_data4[[#This Row],[Stock_levels]]&lt;=70,"Medium Stock","High Stock"))</f>
        <v>High Stock</v>
      </c>
      <c r="AA73" t="str">
        <f>IF(supply_chain_data4[[#This Row],[Lead_time]]&lt;=10,"Short",
IF(supply_chain_data4[[#This Row],[Lead_time]]&lt;=20,"Medium","Long"))</f>
        <v>Short</v>
      </c>
      <c r="AB73" t="str">
        <f>IF(supply_chain_data4[[#This Row],[Defect_rates]]&lt;2,"Low Defect",
IF(supply_chain_data4[[#This Row],[Defect_rates]]&lt;=4,"Medium Defect","High Defect"))</f>
        <v>Medium Defect</v>
      </c>
      <c r="AC73" s="1">
        <f>supply_chain_data4[[#This Row],[Production_volumes]]*supply_chain_data4[[#This Row],[Manufacturing_costs]]</f>
        <v>7910.7127892877652</v>
      </c>
      <c r="AD73" s="1">
        <f>supply_chain_data4[[#This Row],[Order_quantities]]*supply_chain_data4[[#This Row],[Shipping_costs]]</f>
        <v>239.93294824336544</v>
      </c>
      <c r="AE73" s="1">
        <f>supply_chain_data4[[#This Row],[Revenue_generated ]]-AC73-AD73</f>
        <v>29.691347894312003</v>
      </c>
    </row>
    <row r="74" spans="1:31" x14ac:dyDescent="0.3">
      <c r="A74" t="s">
        <v>57</v>
      </c>
      <c r="B74" t="s">
        <v>126</v>
      </c>
      <c r="C74" s="1">
        <v>90.204427520528071</v>
      </c>
      <c r="D74" s="3">
        <v>88</v>
      </c>
      <c r="E74" s="3">
        <v>478</v>
      </c>
      <c r="F74" s="5">
        <v>2633.1219813122557</v>
      </c>
      <c r="G74" t="s">
        <v>26</v>
      </c>
      <c r="H74" s="3">
        <v>57</v>
      </c>
      <c r="I74">
        <v>29</v>
      </c>
      <c r="J74" s="3">
        <v>77</v>
      </c>
      <c r="K74">
        <v>9</v>
      </c>
      <c r="L74" t="s">
        <v>36</v>
      </c>
      <c r="M74" s="1">
        <v>6.5996141596895441</v>
      </c>
      <c r="N74" t="s">
        <v>39</v>
      </c>
      <c r="O74" t="s">
        <v>53</v>
      </c>
      <c r="P74" s="3">
        <v>21</v>
      </c>
      <c r="Q74" s="3">
        <v>152</v>
      </c>
      <c r="R74" s="3">
        <v>11</v>
      </c>
      <c r="S74" s="1">
        <v>55.760492895244212</v>
      </c>
      <c r="T74" t="s">
        <v>30</v>
      </c>
      <c r="U74" s="2">
        <v>3.2133296074383089</v>
      </c>
      <c r="V74" t="s">
        <v>47</v>
      </c>
      <c r="W74" t="s">
        <v>32</v>
      </c>
      <c r="X74" s="1">
        <v>677.9445698461833</v>
      </c>
      <c r="Y74" s="1">
        <f>supply_chain_data4[[#This Row],[Revenue_generated ]]/supply_chain_data4[[#This Row],[Number_of_products sold]]</f>
        <v>5.5086233918666441</v>
      </c>
      <c r="Z74" t="str">
        <f>IF(supply_chain_data4[[#This Row],[Stock_levels]]&lt;30,"Low Stock",
IF(supply_chain_data4[[#This Row],[Stock_levels]]&lt;=70,"Medium Stock","High Stock"))</f>
        <v>Medium Stock</v>
      </c>
      <c r="AA74" t="str">
        <f>IF(supply_chain_data4[[#This Row],[Lead_time]]&lt;=10,"Short",
IF(supply_chain_data4[[#This Row],[Lead_time]]&lt;=20,"Medium","Long"))</f>
        <v>Long</v>
      </c>
      <c r="AB74" t="str">
        <f>IF(supply_chain_data4[[#This Row],[Defect_rates]]&lt;2,"Low Defect",
IF(supply_chain_data4[[#This Row],[Defect_rates]]&lt;=4,"Medium Defect","High Defect"))</f>
        <v>Medium Defect</v>
      </c>
      <c r="AC74" s="1">
        <f>supply_chain_data4[[#This Row],[Production_volumes]]*supply_chain_data4[[#This Row],[Manufacturing_costs]]</f>
        <v>8475.5949200771211</v>
      </c>
      <c r="AD74" s="1">
        <f>supply_chain_data4[[#This Row],[Order_quantities]]*supply_chain_data4[[#This Row],[Shipping_costs]]</f>
        <v>508.17029029609489</v>
      </c>
      <c r="AE74" s="1">
        <f>supply_chain_data4[[#This Row],[Revenue_generated ]]-AC74-AD74</f>
        <v>-6350.6432290609609</v>
      </c>
    </row>
    <row r="75" spans="1:31" x14ac:dyDescent="0.3">
      <c r="A75" t="s">
        <v>57</v>
      </c>
      <c r="B75" t="s">
        <v>127</v>
      </c>
      <c r="C75" s="1">
        <v>83.851017681304597</v>
      </c>
      <c r="D75" s="3">
        <v>41</v>
      </c>
      <c r="E75" s="3">
        <v>375</v>
      </c>
      <c r="F75" s="5">
        <v>7910.8869161406856</v>
      </c>
      <c r="G75" t="s">
        <v>55</v>
      </c>
      <c r="H75" s="3">
        <v>17</v>
      </c>
      <c r="I75">
        <v>25</v>
      </c>
      <c r="J75" s="3">
        <v>66</v>
      </c>
      <c r="K75">
        <v>5</v>
      </c>
      <c r="L75" t="s">
        <v>27</v>
      </c>
      <c r="M75" s="1">
        <v>1.5129368369160772</v>
      </c>
      <c r="N75" t="s">
        <v>52</v>
      </c>
      <c r="O75" t="s">
        <v>62</v>
      </c>
      <c r="P75" s="3">
        <v>13</v>
      </c>
      <c r="Q75" s="3">
        <v>444</v>
      </c>
      <c r="R75" s="3">
        <v>4</v>
      </c>
      <c r="S75" s="1">
        <v>46.870238797617155</v>
      </c>
      <c r="T75" t="s">
        <v>46</v>
      </c>
      <c r="U75" s="2">
        <v>4.6205460645137064</v>
      </c>
      <c r="V75" t="s">
        <v>31</v>
      </c>
      <c r="W75" t="s">
        <v>48</v>
      </c>
      <c r="X75" s="1">
        <v>866.4728001296578</v>
      </c>
      <c r="Y75" s="1">
        <f>supply_chain_data4[[#This Row],[Revenue_generated ]]/supply_chain_data4[[#This Row],[Number_of_products sold]]</f>
        <v>21.09569844304183</v>
      </c>
      <c r="Z75" t="str">
        <f>IF(supply_chain_data4[[#This Row],[Stock_levels]]&lt;30,"Low Stock",
IF(supply_chain_data4[[#This Row],[Stock_levels]]&lt;=70,"Medium Stock","High Stock"))</f>
        <v>Low Stock</v>
      </c>
      <c r="AA75" t="str">
        <f>IF(supply_chain_data4[[#This Row],[Lead_time]]&lt;=10,"Short",
IF(supply_chain_data4[[#This Row],[Lead_time]]&lt;=20,"Medium","Long"))</f>
        <v>Medium</v>
      </c>
      <c r="AB75" t="str">
        <f>IF(supply_chain_data4[[#This Row],[Defect_rates]]&lt;2,"Low Defect",
IF(supply_chain_data4[[#This Row],[Defect_rates]]&lt;=4,"Medium Defect","High Defect"))</f>
        <v>High Defect</v>
      </c>
      <c r="AC75" s="1">
        <f>supply_chain_data4[[#This Row],[Production_volumes]]*supply_chain_data4[[#This Row],[Manufacturing_costs]]</f>
        <v>20810.386026142016</v>
      </c>
      <c r="AD75" s="1">
        <f>supply_chain_data4[[#This Row],[Order_quantities]]*supply_chain_data4[[#This Row],[Shipping_costs]]</f>
        <v>99.85383123646109</v>
      </c>
      <c r="AE75" s="1">
        <f>supply_chain_data4[[#This Row],[Revenue_generated ]]-AC75-AD75</f>
        <v>-12999.352941237792</v>
      </c>
    </row>
    <row r="76" spans="1:31" x14ac:dyDescent="0.3">
      <c r="A76" t="s">
        <v>24</v>
      </c>
      <c r="B76" t="s">
        <v>128</v>
      </c>
      <c r="C76" s="1">
        <v>3.1700114135661548</v>
      </c>
      <c r="D76" s="3">
        <v>64</v>
      </c>
      <c r="E76" s="3">
        <v>904</v>
      </c>
      <c r="F76" s="5">
        <v>5709.9452959692871</v>
      </c>
      <c r="G76" t="s">
        <v>35</v>
      </c>
      <c r="H76" s="3">
        <v>41</v>
      </c>
      <c r="I76">
        <v>6</v>
      </c>
      <c r="J76" s="3">
        <v>1</v>
      </c>
      <c r="K76">
        <v>5</v>
      </c>
      <c r="L76" t="s">
        <v>36</v>
      </c>
      <c r="M76" s="1">
        <v>5.2376546500374479</v>
      </c>
      <c r="N76" t="s">
        <v>52</v>
      </c>
      <c r="O76" t="s">
        <v>50</v>
      </c>
      <c r="P76" s="3">
        <v>1</v>
      </c>
      <c r="Q76" s="3">
        <v>919</v>
      </c>
      <c r="R76" s="3">
        <v>9</v>
      </c>
      <c r="S76" s="1">
        <v>80.580852156447818</v>
      </c>
      <c r="T76" t="s">
        <v>46</v>
      </c>
      <c r="U76" s="2">
        <v>0.39661272410993542</v>
      </c>
      <c r="V76" t="s">
        <v>47</v>
      </c>
      <c r="W76" t="s">
        <v>48</v>
      </c>
      <c r="X76" s="1">
        <v>341.55265678322337</v>
      </c>
      <c r="Y76" s="1">
        <f>supply_chain_data4[[#This Row],[Revenue_generated ]]/supply_chain_data4[[#This Row],[Number_of_products sold]]</f>
        <v>6.3163111681076183</v>
      </c>
      <c r="Z76" t="str">
        <f>IF(supply_chain_data4[[#This Row],[Stock_levels]]&lt;30,"Low Stock",
IF(supply_chain_data4[[#This Row],[Stock_levels]]&lt;=70,"Medium Stock","High Stock"))</f>
        <v>Medium Stock</v>
      </c>
      <c r="AA76" t="str">
        <f>IF(supply_chain_data4[[#This Row],[Lead_time]]&lt;=10,"Short",
IF(supply_chain_data4[[#This Row],[Lead_time]]&lt;=20,"Medium","Long"))</f>
        <v>Short</v>
      </c>
      <c r="AB76" t="str">
        <f>IF(supply_chain_data4[[#This Row],[Defect_rates]]&lt;2,"Low Defect",
IF(supply_chain_data4[[#This Row],[Defect_rates]]&lt;=4,"Medium Defect","High Defect"))</f>
        <v>Low Defect</v>
      </c>
      <c r="AC76" s="1">
        <f>supply_chain_data4[[#This Row],[Production_volumes]]*supply_chain_data4[[#This Row],[Manufacturing_costs]]</f>
        <v>74053.803131775552</v>
      </c>
      <c r="AD76" s="1">
        <f>supply_chain_data4[[#This Row],[Order_quantities]]*supply_chain_data4[[#This Row],[Shipping_costs]]</f>
        <v>5.2376546500374479</v>
      </c>
      <c r="AE76" s="1">
        <f>supply_chain_data4[[#This Row],[Revenue_generated ]]-AC76-AD76</f>
        <v>-68349.095490456297</v>
      </c>
    </row>
    <row r="77" spans="1:31" x14ac:dyDescent="0.3">
      <c r="A77" t="s">
        <v>33</v>
      </c>
      <c r="B77" t="s">
        <v>129</v>
      </c>
      <c r="C77" s="1">
        <v>92.996884233970661</v>
      </c>
      <c r="D77" s="3">
        <v>29</v>
      </c>
      <c r="E77" s="3">
        <v>106</v>
      </c>
      <c r="F77" s="5">
        <v>1889.073589779335</v>
      </c>
      <c r="G77" t="s">
        <v>26</v>
      </c>
      <c r="H77" s="3">
        <v>16</v>
      </c>
      <c r="I77">
        <v>20</v>
      </c>
      <c r="J77" s="3">
        <v>56</v>
      </c>
      <c r="K77">
        <v>10</v>
      </c>
      <c r="L77" t="s">
        <v>43</v>
      </c>
      <c r="M77" s="1">
        <v>2.4738977610454609</v>
      </c>
      <c r="N77" t="s">
        <v>39</v>
      </c>
      <c r="O77" t="s">
        <v>62</v>
      </c>
      <c r="P77" s="3">
        <v>25</v>
      </c>
      <c r="Q77" s="3">
        <v>759</v>
      </c>
      <c r="R77" s="3">
        <v>11</v>
      </c>
      <c r="S77" s="1">
        <v>48.064782640006591</v>
      </c>
      <c r="T77" t="s">
        <v>64</v>
      </c>
      <c r="U77" s="2">
        <v>2.0300690886687516</v>
      </c>
      <c r="V77" t="s">
        <v>40</v>
      </c>
      <c r="W77" t="s">
        <v>41</v>
      </c>
      <c r="X77" s="1">
        <v>873.12964801765145</v>
      </c>
      <c r="Y77" s="1">
        <f>supply_chain_data4[[#This Row],[Revenue_generated ]]/supply_chain_data4[[#This Row],[Number_of_products sold]]</f>
        <v>17.821448960182405</v>
      </c>
      <c r="Z77" t="str">
        <f>IF(supply_chain_data4[[#This Row],[Stock_levels]]&lt;30,"Low Stock",
IF(supply_chain_data4[[#This Row],[Stock_levels]]&lt;=70,"Medium Stock","High Stock"))</f>
        <v>Low Stock</v>
      </c>
      <c r="AA77" t="str">
        <f>IF(supply_chain_data4[[#This Row],[Lead_time]]&lt;=10,"Short",
IF(supply_chain_data4[[#This Row],[Lead_time]]&lt;=20,"Medium","Long"))</f>
        <v>Long</v>
      </c>
      <c r="AB77" t="str">
        <f>IF(supply_chain_data4[[#This Row],[Defect_rates]]&lt;2,"Low Defect",
IF(supply_chain_data4[[#This Row],[Defect_rates]]&lt;=4,"Medium Defect","High Defect"))</f>
        <v>Medium Defect</v>
      </c>
      <c r="AC77" s="1">
        <f>supply_chain_data4[[#This Row],[Production_volumes]]*supply_chain_data4[[#This Row],[Manufacturing_costs]]</f>
        <v>36481.170023765</v>
      </c>
      <c r="AD77" s="1">
        <f>supply_chain_data4[[#This Row],[Order_quantities]]*supply_chain_data4[[#This Row],[Shipping_costs]]</f>
        <v>138.53827461854581</v>
      </c>
      <c r="AE77" s="1">
        <f>supply_chain_data4[[#This Row],[Revenue_generated ]]-AC77-AD77</f>
        <v>-34730.634708604208</v>
      </c>
    </row>
    <row r="78" spans="1:31" x14ac:dyDescent="0.3">
      <c r="A78" t="s">
        <v>24</v>
      </c>
      <c r="B78" t="s">
        <v>130</v>
      </c>
      <c r="C78" s="1">
        <v>69.108799547430323</v>
      </c>
      <c r="D78" s="3">
        <v>23</v>
      </c>
      <c r="E78" s="3">
        <v>241</v>
      </c>
      <c r="F78" s="5">
        <v>5328.3759842977579</v>
      </c>
      <c r="G78" t="s">
        <v>55</v>
      </c>
      <c r="H78" s="3">
        <v>38</v>
      </c>
      <c r="I78">
        <v>1</v>
      </c>
      <c r="J78" s="3">
        <v>22</v>
      </c>
      <c r="K78">
        <v>10</v>
      </c>
      <c r="L78" t="s">
        <v>36</v>
      </c>
      <c r="M78" s="1">
        <v>7.0545383368369263</v>
      </c>
      <c r="N78" t="s">
        <v>61</v>
      </c>
      <c r="O78" t="s">
        <v>53</v>
      </c>
      <c r="P78" s="3">
        <v>25</v>
      </c>
      <c r="Q78" s="3">
        <v>985</v>
      </c>
      <c r="R78" s="3">
        <v>24</v>
      </c>
      <c r="S78" s="1">
        <v>64.323597795600222</v>
      </c>
      <c r="T78" t="s">
        <v>30</v>
      </c>
      <c r="U78" s="2">
        <v>2.1800374515822165</v>
      </c>
      <c r="V78" t="s">
        <v>47</v>
      </c>
      <c r="W78" t="s">
        <v>48</v>
      </c>
      <c r="X78" s="1">
        <v>997.4134501331946</v>
      </c>
      <c r="Y78" s="1">
        <f>supply_chain_data4[[#This Row],[Revenue_generated ]]/supply_chain_data4[[#This Row],[Number_of_products sold]]</f>
        <v>22.109443918247958</v>
      </c>
      <c r="Z78" t="str">
        <f>IF(supply_chain_data4[[#This Row],[Stock_levels]]&lt;30,"Low Stock",
IF(supply_chain_data4[[#This Row],[Stock_levels]]&lt;=70,"Medium Stock","High Stock"))</f>
        <v>Medium Stock</v>
      </c>
      <c r="AA78" t="str">
        <f>IF(supply_chain_data4[[#This Row],[Lead_time]]&lt;=10,"Short",
IF(supply_chain_data4[[#This Row],[Lead_time]]&lt;=20,"Medium","Long"))</f>
        <v>Long</v>
      </c>
      <c r="AB78" t="str">
        <f>IF(supply_chain_data4[[#This Row],[Defect_rates]]&lt;2,"Low Defect",
IF(supply_chain_data4[[#This Row],[Defect_rates]]&lt;=4,"Medium Defect","High Defect"))</f>
        <v>Medium Defect</v>
      </c>
      <c r="AC78" s="1">
        <f>supply_chain_data4[[#This Row],[Production_volumes]]*supply_chain_data4[[#This Row],[Manufacturing_costs]]</f>
        <v>63358.743828666222</v>
      </c>
      <c r="AD78" s="1">
        <f>supply_chain_data4[[#This Row],[Order_quantities]]*supply_chain_data4[[#This Row],[Shipping_costs]]</f>
        <v>155.19984341041237</v>
      </c>
      <c r="AE78" s="1">
        <f>supply_chain_data4[[#This Row],[Revenue_generated ]]-AC78-AD78</f>
        <v>-58185.567687778872</v>
      </c>
    </row>
    <row r="79" spans="1:31" x14ac:dyDescent="0.3">
      <c r="A79" t="s">
        <v>24</v>
      </c>
      <c r="B79" t="s">
        <v>131</v>
      </c>
      <c r="C79" s="1">
        <v>57.449742958971477</v>
      </c>
      <c r="D79" s="3">
        <v>14</v>
      </c>
      <c r="E79" s="3">
        <v>359</v>
      </c>
      <c r="F79" s="5">
        <v>2483.7601775427947</v>
      </c>
      <c r="G79" t="s">
        <v>38</v>
      </c>
      <c r="H79" s="3">
        <v>96</v>
      </c>
      <c r="I79">
        <v>28</v>
      </c>
      <c r="J79" s="3">
        <v>57</v>
      </c>
      <c r="K79">
        <v>4</v>
      </c>
      <c r="L79" t="s">
        <v>27</v>
      </c>
      <c r="M79" s="1">
        <v>6.7809466256178954</v>
      </c>
      <c r="N79" t="s">
        <v>39</v>
      </c>
      <c r="O79" t="s">
        <v>45</v>
      </c>
      <c r="P79" s="3">
        <v>26</v>
      </c>
      <c r="Q79" s="3">
        <v>334</v>
      </c>
      <c r="R79" s="3">
        <v>5</v>
      </c>
      <c r="S79" s="1">
        <v>42.952444748991837</v>
      </c>
      <c r="T79" t="s">
        <v>64</v>
      </c>
      <c r="U79" s="2">
        <v>3.0551418183075478</v>
      </c>
      <c r="V79" t="s">
        <v>31</v>
      </c>
      <c r="W79" t="s">
        <v>32</v>
      </c>
      <c r="X79" s="1">
        <v>852.56809891984994</v>
      </c>
      <c r="Y79" s="1">
        <f>supply_chain_data4[[#This Row],[Revenue_generated ]]/supply_chain_data4[[#This Row],[Number_of_products sold]]</f>
        <v>6.918552026581601</v>
      </c>
      <c r="Z79" t="str">
        <f>IF(supply_chain_data4[[#This Row],[Stock_levels]]&lt;30,"Low Stock",
IF(supply_chain_data4[[#This Row],[Stock_levels]]&lt;=70,"Medium Stock","High Stock"))</f>
        <v>High Stock</v>
      </c>
      <c r="AA79" t="str">
        <f>IF(supply_chain_data4[[#This Row],[Lead_time]]&lt;=10,"Short",
IF(supply_chain_data4[[#This Row],[Lead_time]]&lt;=20,"Medium","Long"))</f>
        <v>Long</v>
      </c>
      <c r="AB79" t="str">
        <f>IF(supply_chain_data4[[#This Row],[Defect_rates]]&lt;2,"Low Defect",
IF(supply_chain_data4[[#This Row],[Defect_rates]]&lt;=4,"Medium Defect","High Defect"))</f>
        <v>Medium Defect</v>
      </c>
      <c r="AC79" s="1">
        <f>supply_chain_data4[[#This Row],[Production_volumes]]*supply_chain_data4[[#This Row],[Manufacturing_costs]]</f>
        <v>14346.116546163274</v>
      </c>
      <c r="AD79" s="1">
        <f>supply_chain_data4[[#This Row],[Order_quantities]]*supply_chain_data4[[#This Row],[Shipping_costs]]</f>
        <v>386.51395766022006</v>
      </c>
      <c r="AE79" s="1">
        <f>supply_chain_data4[[#This Row],[Revenue_generated ]]-AC79-AD79</f>
        <v>-12248.870326280699</v>
      </c>
    </row>
    <row r="80" spans="1:31" x14ac:dyDescent="0.3">
      <c r="A80" t="s">
        <v>24</v>
      </c>
      <c r="B80" t="s">
        <v>132</v>
      </c>
      <c r="C80" s="1">
        <v>6.3068831761119153</v>
      </c>
      <c r="D80" s="3">
        <v>50</v>
      </c>
      <c r="E80" s="3">
        <v>946</v>
      </c>
      <c r="F80" s="5">
        <v>1292.4584179377562</v>
      </c>
      <c r="G80" t="s">
        <v>38</v>
      </c>
      <c r="H80" s="3">
        <v>5</v>
      </c>
      <c r="I80">
        <v>4</v>
      </c>
      <c r="J80" s="3">
        <v>51</v>
      </c>
      <c r="K80">
        <v>5</v>
      </c>
      <c r="L80" t="s">
        <v>27</v>
      </c>
      <c r="M80" s="1">
        <v>8.4670497708619905</v>
      </c>
      <c r="N80" t="s">
        <v>44</v>
      </c>
      <c r="O80" t="s">
        <v>29</v>
      </c>
      <c r="P80" s="3">
        <v>25</v>
      </c>
      <c r="Q80" s="3">
        <v>858</v>
      </c>
      <c r="R80" s="3">
        <v>21</v>
      </c>
      <c r="S80" s="1">
        <v>71.126514720403378</v>
      </c>
      <c r="T80" t="s">
        <v>30</v>
      </c>
      <c r="U80" s="2">
        <v>4.0968813324704518</v>
      </c>
      <c r="V80" t="s">
        <v>56</v>
      </c>
      <c r="W80" t="s">
        <v>41</v>
      </c>
      <c r="X80" s="1">
        <v>323.59220343132216</v>
      </c>
      <c r="Y80" s="1">
        <f>supply_chain_data4[[#This Row],[Revenue_generated ]]/supply_chain_data4[[#This Row],[Number_of_products sold]]</f>
        <v>1.366235114099108</v>
      </c>
      <c r="Z80" t="str">
        <f>IF(supply_chain_data4[[#This Row],[Stock_levels]]&lt;30,"Low Stock",
IF(supply_chain_data4[[#This Row],[Stock_levels]]&lt;=70,"Medium Stock","High Stock"))</f>
        <v>Low Stock</v>
      </c>
      <c r="AA80" t="str">
        <f>IF(supply_chain_data4[[#This Row],[Lead_time]]&lt;=10,"Short",
IF(supply_chain_data4[[#This Row],[Lead_time]]&lt;=20,"Medium","Long"))</f>
        <v>Long</v>
      </c>
      <c r="AB80" t="str">
        <f>IF(supply_chain_data4[[#This Row],[Defect_rates]]&lt;2,"Low Defect",
IF(supply_chain_data4[[#This Row],[Defect_rates]]&lt;=4,"Medium Defect","High Defect"))</f>
        <v>High Defect</v>
      </c>
      <c r="AC80" s="1">
        <f>supply_chain_data4[[#This Row],[Production_volumes]]*supply_chain_data4[[#This Row],[Manufacturing_costs]]</f>
        <v>61026.549630106099</v>
      </c>
      <c r="AD80" s="1">
        <f>supply_chain_data4[[#This Row],[Order_quantities]]*supply_chain_data4[[#This Row],[Shipping_costs]]</f>
        <v>431.81953831396152</v>
      </c>
      <c r="AE80" s="1">
        <f>supply_chain_data4[[#This Row],[Revenue_generated ]]-AC80-AD80</f>
        <v>-60165.910750482304</v>
      </c>
    </row>
    <row r="81" spans="1:31" x14ac:dyDescent="0.3">
      <c r="A81" t="s">
        <v>24</v>
      </c>
      <c r="B81" t="s">
        <v>133</v>
      </c>
      <c r="C81" s="1">
        <v>57.057031221103223</v>
      </c>
      <c r="D81" s="3">
        <v>56</v>
      </c>
      <c r="E81" s="3">
        <v>198</v>
      </c>
      <c r="F81" s="5">
        <v>7888.7232684270812</v>
      </c>
      <c r="G81" t="s">
        <v>26</v>
      </c>
      <c r="H81" s="3">
        <v>31</v>
      </c>
      <c r="I81">
        <v>25</v>
      </c>
      <c r="J81" s="3">
        <v>20</v>
      </c>
      <c r="K81">
        <v>1</v>
      </c>
      <c r="L81" t="s">
        <v>27</v>
      </c>
      <c r="M81" s="1">
        <v>6.4963253642950445</v>
      </c>
      <c r="N81" t="s">
        <v>28</v>
      </c>
      <c r="O81" t="s">
        <v>53</v>
      </c>
      <c r="P81" s="3">
        <v>5</v>
      </c>
      <c r="Q81" s="3">
        <v>228</v>
      </c>
      <c r="R81" s="3">
        <v>12</v>
      </c>
      <c r="S81" s="1">
        <v>57.87090292403628</v>
      </c>
      <c r="T81" t="s">
        <v>30</v>
      </c>
      <c r="U81" s="2">
        <v>0.16587162748060824</v>
      </c>
      <c r="V81" t="s">
        <v>40</v>
      </c>
      <c r="W81" t="s">
        <v>41</v>
      </c>
      <c r="X81" s="1">
        <v>351.50421933503867</v>
      </c>
      <c r="Y81" s="1">
        <f>supply_chain_data4[[#This Row],[Revenue_generated ]]/supply_chain_data4[[#This Row],[Number_of_products sold]]</f>
        <v>39.842036709227685</v>
      </c>
      <c r="Z81" t="str">
        <f>IF(supply_chain_data4[[#This Row],[Stock_levels]]&lt;30,"Low Stock",
IF(supply_chain_data4[[#This Row],[Stock_levels]]&lt;=70,"Medium Stock","High Stock"))</f>
        <v>Medium Stock</v>
      </c>
      <c r="AA81" t="str">
        <f>IF(supply_chain_data4[[#This Row],[Lead_time]]&lt;=10,"Short",
IF(supply_chain_data4[[#This Row],[Lead_time]]&lt;=20,"Medium","Long"))</f>
        <v>Short</v>
      </c>
      <c r="AB81" t="str">
        <f>IF(supply_chain_data4[[#This Row],[Defect_rates]]&lt;2,"Low Defect",
IF(supply_chain_data4[[#This Row],[Defect_rates]]&lt;=4,"Medium Defect","High Defect"))</f>
        <v>Low Defect</v>
      </c>
      <c r="AC81" s="1">
        <f>supply_chain_data4[[#This Row],[Production_volumes]]*supply_chain_data4[[#This Row],[Manufacturing_costs]]</f>
        <v>13194.565866680272</v>
      </c>
      <c r="AD81" s="1">
        <f>supply_chain_data4[[#This Row],[Order_quantities]]*supply_chain_data4[[#This Row],[Shipping_costs]]</f>
        <v>129.9265072859009</v>
      </c>
      <c r="AE81" s="1">
        <f>supply_chain_data4[[#This Row],[Revenue_generated ]]-AC81-AD81</f>
        <v>-5435.7691055390915</v>
      </c>
    </row>
    <row r="82" spans="1:31" x14ac:dyDescent="0.3">
      <c r="A82" t="s">
        <v>33</v>
      </c>
      <c r="B82" t="s">
        <v>134</v>
      </c>
      <c r="C82" s="1">
        <v>91.128318350444331</v>
      </c>
      <c r="D82" s="3">
        <v>75</v>
      </c>
      <c r="E82" s="3">
        <v>872</v>
      </c>
      <c r="F82" s="5">
        <v>8651.6726829820655</v>
      </c>
      <c r="G82" t="s">
        <v>38</v>
      </c>
      <c r="H82" s="3">
        <v>39</v>
      </c>
      <c r="I82">
        <v>14</v>
      </c>
      <c r="J82" s="3">
        <v>41</v>
      </c>
      <c r="K82">
        <v>2</v>
      </c>
      <c r="L82" t="s">
        <v>43</v>
      </c>
      <c r="M82" s="1">
        <v>2.8331846794189746</v>
      </c>
      <c r="N82" t="s">
        <v>28</v>
      </c>
      <c r="O82" t="s">
        <v>62</v>
      </c>
      <c r="P82" s="3">
        <v>8</v>
      </c>
      <c r="Q82" s="3">
        <v>202</v>
      </c>
      <c r="R82" s="3">
        <v>5</v>
      </c>
      <c r="S82" s="1">
        <v>76.961228023820013</v>
      </c>
      <c r="T82" t="s">
        <v>46</v>
      </c>
      <c r="U82" s="2">
        <v>2.8496621985053308</v>
      </c>
      <c r="V82" t="s">
        <v>56</v>
      </c>
      <c r="W82" t="s">
        <v>32</v>
      </c>
      <c r="X82" s="1">
        <v>787.77985049434449</v>
      </c>
      <c r="Y82" s="1">
        <f>supply_chain_data4[[#This Row],[Revenue_generated ]]/supply_chain_data4[[#This Row],[Number_of_products sold]]</f>
        <v>9.9216429850711751</v>
      </c>
      <c r="Z82" t="str">
        <f>IF(supply_chain_data4[[#This Row],[Stock_levels]]&lt;30,"Low Stock",
IF(supply_chain_data4[[#This Row],[Stock_levels]]&lt;=70,"Medium Stock","High Stock"))</f>
        <v>Medium Stock</v>
      </c>
      <c r="AA82" t="str">
        <f>IF(supply_chain_data4[[#This Row],[Lead_time]]&lt;=10,"Short",
IF(supply_chain_data4[[#This Row],[Lead_time]]&lt;=20,"Medium","Long"))</f>
        <v>Short</v>
      </c>
      <c r="AB82" t="str">
        <f>IF(supply_chain_data4[[#This Row],[Defect_rates]]&lt;2,"Low Defect",
IF(supply_chain_data4[[#This Row],[Defect_rates]]&lt;=4,"Medium Defect","High Defect"))</f>
        <v>Medium Defect</v>
      </c>
      <c r="AC82" s="1">
        <f>supply_chain_data4[[#This Row],[Production_volumes]]*supply_chain_data4[[#This Row],[Manufacturing_costs]]</f>
        <v>15546.168060811642</v>
      </c>
      <c r="AD82" s="1">
        <f>supply_chain_data4[[#This Row],[Order_quantities]]*supply_chain_data4[[#This Row],[Shipping_costs]]</f>
        <v>116.16057185617795</v>
      </c>
      <c r="AE82" s="1">
        <f>supply_chain_data4[[#This Row],[Revenue_generated ]]-AC82-AD82</f>
        <v>-7010.6559496857544</v>
      </c>
    </row>
    <row r="83" spans="1:31" x14ac:dyDescent="0.3">
      <c r="A83" t="s">
        <v>24</v>
      </c>
      <c r="B83" t="s">
        <v>135</v>
      </c>
      <c r="C83" s="1">
        <v>72.819206930318217</v>
      </c>
      <c r="D83" s="3">
        <v>9</v>
      </c>
      <c r="E83" s="3">
        <v>774</v>
      </c>
      <c r="F83" s="5">
        <v>4384.4134000458625</v>
      </c>
      <c r="G83" t="s">
        <v>38</v>
      </c>
      <c r="H83" s="3">
        <v>48</v>
      </c>
      <c r="I83">
        <v>6</v>
      </c>
      <c r="J83" s="3">
        <v>8</v>
      </c>
      <c r="K83">
        <v>5</v>
      </c>
      <c r="L83" t="s">
        <v>27</v>
      </c>
      <c r="M83" s="1">
        <v>4.0662775015120438</v>
      </c>
      <c r="N83" t="s">
        <v>28</v>
      </c>
      <c r="O83" t="s">
        <v>50</v>
      </c>
      <c r="P83" s="3">
        <v>28</v>
      </c>
      <c r="Q83" s="3">
        <v>698</v>
      </c>
      <c r="R83" s="3">
        <v>1</v>
      </c>
      <c r="S83" s="1">
        <v>19.789592941903603</v>
      </c>
      <c r="T83" t="s">
        <v>30</v>
      </c>
      <c r="U83" s="2">
        <v>2.5475471215487118</v>
      </c>
      <c r="V83" t="s">
        <v>47</v>
      </c>
      <c r="W83" t="s">
        <v>32</v>
      </c>
      <c r="X83" s="1">
        <v>276.77833594679885</v>
      </c>
      <c r="Y83" s="1">
        <f>supply_chain_data4[[#This Row],[Revenue_generated ]]/supply_chain_data4[[#This Row],[Number_of_products sold]]</f>
        <v>5.6646167959248874</v>
      </c>
      <c r="Z83" t="str">
        <f>IF(supply_chain_data4[[#This Row],[Stock_levels]]&lt;30,"Low Stock",
IF(supply_chain_data4[[#This Row],[Stock_levels]]&lt;=70,"Medium Stock","High Stock"))</f>
        <v>Medium Stock</v>
      </c>
      <c r="AA83" t="str">
        <f>IF(supply_chain_data4[[#This Row],[Lead_time]]&lt;=10,"Short",
IF(supply_chain_data4[[#This Row],[Lead_time]]&lt;=20,"Medium","Long"))</f>
        <v>Long</v>
      </c>
      <c r="AB83" t="str">
        <f>IF(supply_chain_data4[[#This Row],[Defect_rates]]&lt;2,"Low Defect",
IF(supply_chain_data4[[#This Row],[Defect_rates]]&lt;=4,"Medium Defect","High Defect"))</f>
        <v>Medium Defect</v>
      </c>
      <c r="AC83" s="1">
        <f>supply_chain_data4[[#This Row],[Production_volumes]]*supply_chain_data4[[#This Row],[Manufacturing_costs]]</f>
        <v>13813.135873448715</v>
      </c>
      <c r="AD83" s="1">
        <f>supply_chain_data4[[#This Row],[Order_quantities]]*supply_chain_data4[[#This Row],[Shipping_costs]]</f>
        <v>32.530220012096351</v>
      </c>
      <c r="AE83" s="1">
        <f>supply_chain_data4[[#This Row],[Revenue_generated ]]-AC83-AD83</f>
        <v>-9461.25269341495</v>
      </c>
    </row>
    <row r="84" spans="1:31" x14ac:dyDescent="0.3">
      <c r="A84" t="s">
        <v>33</v>
      </c>
      <c r="B84" t="s">
        <v>136</v>
      </c>
      <c r="C84" s="1">
        <v>17.034930739467917</v>
      </c>
      <c r="D84" s="3">
        <v>13</v>
      </c>
      <c r="E84" s="3">
        <v>336</v>
      </c>
      <c r="F84" s="5">
        <v>2943.3818676094515</v>
      </c>
      <c r="G84" t="s">
        <v>38</v>
      </c>
      <c r="H84" s="3">
        <v>42</v>
      </c>
      <c r="I84">
        <v>19</v>
      </c>
      <c r="J84" s="3">
        <v>72</v>
      </c>
      <c r="K84">
        <v>1</v>
      </c>
      <c r="L84" t="s">
        <v>36</v>
      </c>
      <c r="M84" s="1">
        <v>4.7081818735419301</v>
      </c>
      <c r="N84" t="s">
        <v>61</v>
      </c>
      <c r="O84" t="s">
        <v>29</v>
      </c>
      <c r="P84" s="3">
        <v>6</v>
      </c>
      <c r="Q84" s="3">
        <v>955</v>
      </c>
      <c r="R84" s="3">
        <v>26</v>
      </c>
      <c r="S84" s="1">
        <v>4.4652784349432402</v>
      </c>
      <c r="T84" t="s">
        <v>30</v>
      </c>
      <c r="U84" s="2">
        <v>4.1378770486223573</v>
      </c>
      <c r="V84" t="s">
        <v>31</v>
      </c>
      <c r="W84" t="s">
        <v>41</v>
      </c>
      <c r="X84" s="1">
        <v>589.97855562804068</v>
      </c>
      <c r="Y84" s="1">
        <f>supply_chain_data4[[#This Row],[Revenue_generated ]]/supply_chain_data4[[#This Row],[Number_of_products sold]]</f>
        <v>8.7600650821709873</v>
      </c>
      <c r="Z84" t="str">
        <f>IF(supply_chain_data4[[#This Row],[Stock_levels]]&lt;30,"Low Stock",
IF(supply_chain_data4[[#This Row],[Stock_levels]]&lt;=70,"Medium Stock","High Stock"))</f>
        <v>Medium Stock</v>
      </c>
      <c r="AA84" t="str">
        <f>IF(supply_chain_data4[[#This Row],[Lead_time]]&lt;=10,"Short",
IF(supply_chain_data4[[#This Row],[Lead_time]]&lt;=20,"Medium","Long"))</f>
        <v>Short</v>
      </c>
      <c r="AB84" t="str">
        <f>IF(supply_chain_data4[[#This Row],[Defect_rates]]&lt;2,"Low Defect",
IF(supply_chain_data4[[#This Row],[Defect_rates]]&lt;=4,"Medium Defect","High Defect"))</f>
        <v>High Defect</v>
      </c>
      <c r="AC84" s="1">
        <f>supply_chain_data4[[#This Row],[Production_volumes]]*supply_chain_data4[[#This Row],[Manufacturing_costs]]</f>
        <v>4264.3409053707946</v>
      </c>
      <c r="AD84" s="1">
        <f>supply_chain_data4[[#This Row],[Order_quantities]]*supply_chain_data4[[#This Row],[Shipping_costs]]</f>
        <v>338.98909489501898</v>
      </c>
      <c r="AE84" s="1">
        <f>supply_chain_data4[[#This Row],[Revenue_generated ]]-AC84-AD84</f>
        <v>-1659.9481326563621</v>
      </c>
    </row>
    <row r="85" spans="1:31" x14ac:dyDescent="0.3">
      <c r="A85" t="s">
        <v>24</v>
      </c>
      <c r="B85" t="s">
        <v>137</v>
      </c>
      <c r="C85" s="1">
        <v>68.911246211606326</v>
      </c>
      <c r="D85" s="3">
        <v>82</v>
      </c>
      <c r="E85" s="3">
        <v>663</v>
      </c>
      <c r="F85" s="5">
        <v>2411.754632110491</v>
      </c>
      <c r="G85" t="s">
        <v>38</v>
      </c>
      <c r="H85" s="3">
        <v>65</v>
      </c>
      <c r="I85">
        <v>24</v>
      </c>
      <c r="J85" s="3">
        <v>7</v>
      </c>
      <c r="K85">
        <v>8</v>
      </c>
      <c r="L85" t="s">
        <v>27</v>
      </c>
      <c r="M85" s="1">
        <v>4.9498395779969488</v>
      </c>
      <c r="N85" t="s">
        <v>39</v>
      </c>
      <c r="O85" t="s">
        <v>53</v>
      </c>
      <c r="P85" s="3">
        <v>20</v>
      </c>
      <c r="Q85" s="3">
        <v>443</v>
      </c>
      <c r="R85" s="3">
        <v>5</v>
      </c>
      <c r="S85" s="1">
        <v>97.730593800533043</v>
      </c>
      <c r="T85" t="s">
        <v>46</v>
      </c>
      <c r="U85" s="2">
        <v>0.77300613406724783</v>
      </c>
      <c r="V85" t="s">
        <v>31</v>
      </c>
      <c r="W85" t="s">
        <v>48</v>
      </c>
      <c r="X85" s="1">
        <v>682.97101822609329</v>
      </c>
      <c r="Y85" s="1">
        <f>supply_chain_data4[[#This Row],[Revenue_generated ]]/supply_chain_data4[[#This Row],[Number_of_products sold]]</f>
        <v>3.6376389624592624</v>
      </c>
      <c r="Z85" t="str">
        <f>IF(supply_chain_data4[[#This Row],[Stock_levels]]&lt;30,"Low Stock",
IF(supply_chain_data4[[#This Row],[Stock_levels]]&lt;=70,"Medium Stock","High Stock"))</f>
        <v>Medium Stock</v>
      </c>
      <c r="AA85" t="str">
        <f>IF(supply_chain_data4[[#This Row],[Lead_time]]&lt;=10,"Short",
IF(supply_chain_data4[[#This Row],[Lead_time]]&lt;=20,"Medium","Long"))</f>
        <v>Medium</v>
      </c>
      <c r="AB85" t="str">
        <f>IF(supply_chain_data4[[#This Row],[Defect_rates]]&lt;2,"Low Defect",
IF(supply_chain_data4[[#This Row],[Defect_rates]]&lt;=4,"Medium Defect","High Defect"))</f>
        <v>Low Defect</v>
      </c>
      <c r="AC85" s="1">
        <f>supply_chain_data4[[#This Row],[Production_volumes]]*supply_chain_data4[[#This Row],[Manufacturing_costs]]</f>
        <v>43294.653053636139</v>
      </c>
      <c r="AD85" s="1">
        <f>supply_chain_data4[[#This Row],[Order_quantities]]*supply_chain_data4[[#This Row],[Shipping_costs]]</f>
        <v>34.648877045978644</v>
      </c>
      <c r="AE85" s="1">
        <f>supply_chain_data4[[#This Row],[Revenue_generated ]]-AC85-AD85</f>
        <v>-40917.547298571626</v>
      </c>
    </row>
    <row r="86" spans="1:31" x14ac:dyDescent="0.3">
      <c r="A86" t="s">
        <v>24</v>
      </c>
      <c r="B86" t="s">
        <v>138</v>
      </c>
      <c r="C86" s="1">
        <v>89.104367292102253</v>
      </c>
      <c r="D86" s="3">
        <v>99</v>
      </c>
      <c r="E86" s="3">
        <v>618</v>
      </c>
      <c r="F86" s="5">
        <v>2048.2900998487103</v>
      </c>
      <c r="G86" t="s">
        <v>38</v>
      </c>
      <c r="H86" s="3">
        <v>73</v>
      </c>
      <c r="I86">
        <v>26</v>
      </c>
      <c r="J86" s="3">
        <v>80</v>
      </c>
      <c r="K86">
        <v>10</v>
      </c>
      <c r="L86" t="s">
        <v>36</v>
      </c>
      <c r="M86" s="1">
        <v>8.381615624922631</v>
      </c>
      <c r="N86" t="s">
        <v>44</v>
      </c>
      <c r="O86" t="s">
        <v>62</v>
      </c>
      <c r="P86" s="3">
        <v>24</v>
      </c>
      <c r="Q86" s="3">
        <v>589</v>
      </c>
      <c r="R86" s="3">
        <v>22</v>
      </c>
      <c r="S86" s="1">
        <v>33.808636513209095</v>
      </c>
      <c r="T86" t="s">
        <v>64</v>
      </c>
      <c r="U86" s="2">
        <v>4.8434565771180411</v>
      </c>
      <c r="V86" t="s">
        <v>40</v>
      </c>
      <c r="W86" t="s">
        <v>32</v>
      </c>
      <c r="X86" s="1">
        <v>465.45700596368795</v>
      </c>
      <c r="Y86" s="1">
        <f>supply_chain_data4[[#This Row],[Revenue_generated ]]/supply_chain_data4[[#This Row],[Number_of_products sold]]</f>
        <v>3.3143852748361007</v>
      </c>
      <c r="Z86" t="str">
        <f>IF(supply_chain_data4[[#This Row],[Stock_levels]]&lt;30,"Low Stock",
IF(supply_chain_data4[[#This Row],[Stock_levels]]&lt;=70,"Medium Stock","High Stock"))</f>
        <v>High Stock</v>
      </c>
      <c r="AA86" t="str">
        <f>IF(supply_chain_data4[[#This Row],[Lead_time]]&lt;=10,"Short",
IF(supply_chain_data4[[#This Row],[Lead_time]]&lt;=20,"Medium","Long"))</f>
        <v>Long</v>
      </c>
      <c r="AB86" t="str">
        <f>IF(supply_chain_data4[[#This Row],[Defect_rates]]&lt;2,"Low Defect",
IF(supply_chain_data4[[#This Row],[Defect_rates]]&lt;=4,"Medium Defect","High Defect"))</f>
        <v>High Defect</v>
      </c>
      <c r="AC86" s="1">
        <f>supply_chain_data4[[#This Row],[Production_volumes]]*supply_chain_data4[[#This Row],[Manufacturing_costs]]</f>
        <v>19913.286906280158</v>
      </c>
      <c r="AD86" s="1">
        <f>supply_chain_data4[[#This Row],[Order_quantities]]*supply_chain_data4[[#This Row],[Shipping_costs]]</f>
        <v>670.52924999381048</v>
      </c>
      <c r="AE86" s="1">
        <f>supply_chain_data4[[#This Row],[Revenue_generated ]]-AC86-AD86</f>
        <v>-18535.52605642526</v>
      </c>
    </row>
    <row r="87" spans="1:31" x14ac:dyDescent="0.3">
      <c r="A87" t="s">
        <v>57</v>
      </c>
      <c r="B87" t="s">
        <v>139</v>
      </c>
      <c r="C87" s="1">
        <v>76.962994415193876</v>
      </c>
      <c r="D87" s="3">
        <v>83</v>
      </c>
      <c r="E87" s="3">
        <v>25</v>
      </c>
      <c r="F87" s="5">
        <v>8684.6130592538575</v>
      </c>
      <c r="G87" t="s">
        <v>35</v>
      </c>
      <c r="H87" s="3">
        <v>15</v>
      </c>
      <c r="I87">
        <v>18</v>
      </c>
      <c r="J87" s="3">
        <v>66</v>
      </c>
      <c r="K87">
        <v>2</v>
      </c>
      <c r="L87" t="s">
        <v>43</v>
      </c>
      <c r="M87" s="1">
        <v>8.2491687048717282</v>
      </c>
      <c r="N87" t="s">
        <v>44</v>
      </c>
      <c r="O87" t="s">
        <v>62</v>
      </c>
      <c r="P87" s="3">
        <v>4</v>
      </c>
      <c r="Q87" s="3">
        <v>211</v>
      </c>
      <c r="R87" s="3">
        <v>2</v>
      </c>
      <c r="S87" s="1">
        <v>69.929345518672307</v>
      </c>
      <c r="T87" t="s">
        <v>46</v>
      </c>
      <c r="U87" s="2">
        <v>1.3744289997457582</v>
      </c>
      <c r="V87" t="s">
        <v>31</v>
      </c>
      <c r="W87" t="s">
        <v>32</v>
      </c>
      <c r="X87" s="1">
        <v>842.68683000464148</v>
      </c>
      <c r="Y87" s="1">
        <f>supply_chain_data4[[#This Row],[Revenue_generated ]]/supply_chain_data4[[#This Row],[Number_of_products sold]]</f>
        <v>347.38452237015429</v>
      </c>
      <c r="Z87" t="str">
        <f>IF(supply_chain_data4[[#This Row],[Stock_levels]]&lt;30,"Low Stock",
IF(supply_chain_data4[[#This Row],[Stock_levels]]&lt;=70,"Medium Stock","High Stock"))</f>
        <v>Low Stock</v>
      </c>
      <c r="AA87" t="str">
        <f>IF(supply_chain_data4[[#This Row],[Lead_time]]&lt;=10,"Short",
IF(supply_chain_data4[[#This Row],[Lead_time]]&lt;=20,"Medium","Long"))</f>
        <v>Short</v>
      </c>
      <c r="AB87" t="str">
        <f>IF(supply_chain_data4[[#This Row],[Defect_rates]]&lt;2,"Low Defect",
IF(supply_chain_data4[[#This Row],[Defect_rates]]&lt;=4,"Medium Defect","High Defect"))</f>
        <v>Low Defect</v>
      </c>
      <c r="AC87" s="1">
        <f>supply_chain_data4[[#This Row],[Production_volumes]]*supply_chain_data4[[#This Row],[Manufacturing_costs]]</f>
        <v>14755.091904439856</v>
      </c>
      <c r="AD87" s="1">
        <f>supply_chain_data4[[#This Row],[Order_quantities]]*supply_chain_data4[[#This Row],[Shipping_costs]]</f>
        <v>544.4451345215341</v>
      </c>
      <c r="AE87" s="1">
        <f>supply_chain_data4[[#This Row],[Revenue_generated ]]-AC87-AD87</f>
        <v>-6614.9239797075325</v>
      </c>
    </row>
    <row r="88" spans="1:31" x14ac:dyDescent="0.3">
      <c r="A88" t="s">
        <v>33</v>
      </c>
      <c r="B88" t="s">
        <v>140</v>
      </c>
      <c r="C88" s="1">
        <v>19.998176940404221</v>
      </c>
      <c r="D88" s="3">
        <v>18</v>
      </c>
      <c r="E88" s="3">
        <v>223</v>
      </c>
      <c r="F88" s="5">
        <v>1229.5910285649834</v>
      </c>
      <c r="G88" t="s">
        <v>38</v>
      </c>
      <c r="H88" s="3">
        <v>32</v>
      </c>
      <c r="I88">
        <v>14</v>
      </c>
      <c r="J88" s="3">
        <v>22</v>
      </c>
      <c r="K88">
        <v>6</v>
      </c>
      <c r="L88" t="s">
        <v>27</v>
      </c>
      <c r="M88" s="1">
        <v>1.4543053101535515</v>
      </c>
      <c r="N88" t="s">
        <v>39</v>
      </c>
      <c r="O88" t="s">
        <v>29</v>
      </c>
      <c r="P88" s="3">
        <v>4</v>
      </c>
      <c r="Q88" s="3">
        <v>569</v>
      </c>
      <c r="R88" s="3">
        <v>18</v>
      </c>
      <c r="S88" s="1">
        <v>74.608969995194684</v>
      </c>
      <c r="T88" t="s">
        <v>64</v>
      </c>
      <c r="U88" s="2">
        <v>2.0515129307662465</v>
      </c>
      <c r="V88" t="s">
        <v>47</v>
      </c>
      <c r="W88" t="s">
        <v>48</v>
      </c>
      <c r="X88" s="1">
        <v>264.25488983586649</v>
      </c>
      <c r="Y88" s="1">
        <f>supply_chain_data4[[#This Row],[Revenue_generated ]]/supply_chain_data4[[#This Row],[Number_of_products sold]]</f>
        <v>5.5138611146411813</v>
      </c>
      <c r="Z88" t="str">
        <f>IF(supply_chain_data4[[#This Row],[Stock_levels]]&lt;30,"Low Stock",
IF(supply_chain_data4[[#This Row],[Stock_levels]]&lt;=70,"Medium Stock","High Stock"))</f>
        <v>Medium Stock</v>
      </c>
      <c r="AA88" t="str">
        <f>IF(supply_chain_data4[[#This Row],[Lead_time]]&lt;=10,"Short",
IF(supply_chain_data4[[#This Row],[Lead_time]]&lt;=20,"Medium","Long"))</f>
        <v>Short</v>
      </c>
      <c r="AB88" t="str">
        <f>IF(supply_chain_data4[[#This Row],[Defect_rates]]&lt;2,"Low Defect",
IF(supply_chain_data4[[#This Row],[Defect_rates]]&lt;=4,"Medium Defect","High Defect"))</f>
        <v>Medium Defect</v>
      </c>
      <c r="AC88" s="1">
        <f>supply_chain_data4[[#This Row],[Production_volumes]]*supply_chain_data4[[#This Row],[Manufacturing_costs]]</f>
        <v>42452.503927265774</v>
      </c>
      <c r="AD88" s="1">
        <f>supply_chain_data4[[#This Row],[Order_quantities]]*supply_chain_data4[[#This Row],[Shipping_costs]]</f>
        <v>31.994716823378134</v>
      </c>
      <c r="AE88" s="1">
        <f>supply_chain_data4[[#This Row],[Revenue_generated ]]-AC88-AD88</f>
        <v>-41254.907615524171</v>
      </c>
    </row>
    <row r="89" spans="1:31" x14ac:dyDescent="0.3">
      <c r="A89" t="s">
        <v>24</v>
      </c>
      <c r="B89" t="s">
        <v>141</v>
      </c>
      <c r="C89" s="1">
        <v>80.41403665035574</v>
      </c>
      <c r="D89" s="3">
        <v>24</v>
      </c>
      <c r="E89" s="3">
        <v>79</v>
      </c>
      <c r="F89" s="5">
        <v>5133.8467010866916</v>
      </c>
      <c r="G89" t="s">
        <v>55</v>
      </c>
      <c r="H89" s="3">
        <v>5</v>
      </c>
      <c r="I89">
        <v>7</v>
      </c>
      <c r="J89" s="3">
        <v>55</v>
      </c>
      <c r="K89">
        <v>10</v>
      </c>
      <c r="L89" t="s">
        <v>36</v>
      </c>
      <c r="M89" s="1">
        <v>6.5758037975485353</v>
      </c>
      <c r="N89" t="s">
        <v>28</v>
      </c>
      <c r="O89" t="s">
        <v>62</v>
      </c>
      <c r="P89" s="3">
        <v>27</v>
      </c>
      <c r="Q89" s="3">
        <v>523</v>
      </c>
      <c r="R89" s="3">
        <v>17</v>
      </c>
      <c r="S89" s="1">
        <v>28.69699682414317</v>
      </c>
      <c r="T89" t="s">
        <v>46</v>
      </c>
      <c r="U89" s="2">
        <v>3.6937377878392756</v>
      </c>
      <c r="V89" t="s">
        <v>56</v>
      </c>
      <c r="W89" t="s">
        <v>32</v>
      </c>
      <c r="X89" s="1">
        <v>879.3592177349243</v>
      </c>
      <c r="Y89" s="1">
        <f>supply_chain_data4[[#This Row],[Revenue_generated ]]/supply_chain_data4[[#This Row],[Number_of_products sold]]</f>
        <v>64.985401279578369</v>
      </c>
      <c r="Z89" t="str">
        <f>IF(supply_chain_data4[[#This Row],[Stock_levels]]&lt;30,"Low Stock",
IF(supply_chain_data4[[#This Row],[Stock_levels]]&lt;=70,"Medium Stock","High Stock"))</f>
        <v>Low Stock</v>
      </c>
      <c r="AA89" t="str">
        <f>IF(supply_chain_data4[[#This Row],[Lead_time]]&lt;=10,"Short",
IF(supply_chain_data4[[#This Row],[Lead_time]]&lt;=20,"Medium","Long"))</f>
        <v>Long</v>
      </c>
      <c r="AB89" t="str">
        <f>IF(supply_chain_data4[[#This Row],[Defect_rates]]&lt;2,"Low Defect",
IF(supply_chain_data4[[#This Row],[Defect_rates]]&lt;=4,"Medium Defect","High Defect"))</f>
        <v>Medium Defect</v>
      </c>
      <c r="AC89" s="1">
        <f>supply_chain_data4[[#This Row],[Production_volumes]]*supply_chain_data4[[#This Row],[Manufacturing_costs]]</f>
        <v>15008.529339026878</v>
      </c>
      <c r="AD89" s="1">
        <f>supply_chain_data4[[#This Row],[Order_quantities]]*supply_chain_data4[[#This Row],[Shipping_costs]]</f>
        <v>361.66920886516942</v>
      </c>
      <c r="AE89" s="1">
        <f>supply_chain_data4[[#This Row],[Revenue_generated ]]-AC89-AD89</f>
        <v>-10236.351846805355</v>
      </c>
    </row>
    <row r="90" spans="1:31" x14ac:dyDescent="0.3">
      <c r="A90" t="s">
        <v>57</v>
      </c>
      <c r="B90" t="s">
        <v>142</v>
      </c>
      <c r="C90" s="1">
        <v>75.27040697572501</v>
      </c>
      <c r="D90" s="3">
        <v>58</v>
      </c>
      <c r="E90" s="3">
        <v>737</v>
      </c>
      <c r="F90" s="5">
        <v>9444.7420330629793</v>
      </c>
      <c r="G90" t="s">
        <v>55</v>
      </c>
      <c r="H90" s="3">
        <v>60</v>
      </c>
      <c r="I90">
        <v>18</v>
      </c>
      <c r="J90" s="3">
        <v>85</v>
      </c>
      <c r="K90">
        <v>7</v>
      </c>
      <c r="L90" t="s">
        <v>36</v>
      </c>
      <c r="M90" s="1">
        <v>3.8012531329310777</v>
      </c>
      <c r="N90" t="s">
        <v>61</v>
      </c>
      <c r="O90" t="s">
        <v>29</v>
      </c>
      <c r="P90" s="3">
        <v>21</v>
      </c>
      <c r="Q90" s="3">
        <v>953</v>
      </c>
      <c r="R90" s="3">
        <v>11</v>
      </c>
      <c r="S90" s="1">
        <v>68.184919057041171</v>
      </c>
      <c r="T90" t="s">
        <v>30</v>
      </c>
      <c r="U90" s="2">
        <v>0.722204401882931</v>
      </c>
      <c r="V90" t="s">
        <v>56</v>
      </c>
      <c r="W90" t="s">
        <v>48</v>
      </c>
      <c r="X90" s="1">
        <v>103.91624796070495</v>
      </c>
      <c r="Y90" s="1">
        <f>supply_chain_data4[[#This Row],[Revenue_generated ]]/supply_chain_data4[[#This Row],[Number_of_products sold]]</f>
        <v>12.815118090994545</v>
      </c>
      <c r="Z90" t="str">
        <f>IF(supply_chain_data4[[#This Row],[Stock_levels]]&lt;30,"Low Stock",
IF(supply_chain_data4[[#This Row],[Stock_levels]]&lt;=70,"Medium Stock","High Stock"))</f>
        <v>Medium Stock</v>
      </c>
      <c r="AA90" t="str">
        <f>IF(supply_chain_data4[[#This Row],[Lead_time]]&lt;=10,"Short",
IF(supply_chain_data4[[#This Row],[Lead_time]]&lt;=20,"Medium","Long"))</f>
        <v>Long</v>
      </c>
      <c r="AB90" t="str">
        <f>IF(supply_chain_data4[[#This Row],[Defect_rates]]&lt;2,"Low Defect",
IF(supply_chain_data4[[#This Row],[Defect_rates]]&lt;=4,"Medium Defect","High Defect"))</f>
        <v>Low Defect</v>
      </c>
      <c r="AC90" s="1">
        <f>supply_chain_data4[[#This Row],[Production_volumes]]*supply_chain_data4[[#This Row],[Manufacturing_costs]]</f>
        <v>64980.227861360239</v>
      </c>
      <c r="AD90" s="1">
        <f>supply_chain_data4[[#This Row],[Order_quantities]]*supply_chain_data4[[#This Row],[Shipping_costs]]</f>
        <v>323.10651629914162</v>
      </c>
      <c r="AE90" s="1">
        <f>supply_chain_data4[[#This Row],[Revenue_generated ]]-AC90-AD90</f>
        <v>-55858.5923445964</v>
      </c>
    </row>
    <row r="91" spans="1:31" x14ac:dyDescent="0.3">
      <c r="A91" t="s">
        <v>57</v>
      </c>
      <c r="B91" t="s">
        <v>143</v>
      </c>
      <c r="C91" s="1">
        <v>97.760085581938668</v>
      </c>
      <c r="D91" s="3">
        <v>10</v>
      </c>
      <c r="E91" s="3">
        <v>134</v>
      </c>
      <c r="F91" s="5">
        <v>5924.682566853231</v>
      </c>
      <c r="G91" t="s">
        <v>38</v>
      </c>
      <c r="H91" s="3">
        <v>90</v>
      </c>
      <c r="I91">
        <v>1</v>
      </c>
      <c r="J91" s="3">
        <v>27</v>
      </c>
      <c r="K91">
        <v>8</v>
      </c>
      <c r="L91" t="s">
        <v>27</v>
      </c>
      <c r="M91" s="1">
        <v>9.9298162452772587</v>
      </c>
      <c r="N91" t="s">
        <v>39</v>
      </c>
      <c r="O91" t="s">
        <v>45</v>
      </c>
      <c r="P91" s="3">
        <v>23</v>
      </c>
      <c r="Q91" s="3">
        <v>370</v>
      </c>
      <c r="R91" s="3">
        <v>11</v>
      </c>
      <c r="S91" s="1">
        <v>46.603873381644469</v>
      </c>
      <c r="T91" t="s">
        <v>30</v>
      </c>
      <c r="U91" s="2">
        <v>1.9076657339590746</v>
      </c>
      <c r="V91" t="s">
        <v>47</v>
      </c>
      <c r="W91" t="s">
        <v>32</v>
      </c>
      <c r="X91" s="1">
        <v>517.4999739290605</v>
      </c>
      <c r="Y91" s="1">
        <f>supply_chain_data4[[#This Row],[Revenue_generated ]]/supply_chain_data4[[#This Row],[Number_of_products sold]]</f>
        <v>44.214049006367397</v>
      </c>
      <c r="Z91" t="str">
        <f>IF(supply_chain_data4[[#This Row],[Stock_levels]]&lt;30,"Low Stock",
IF(supply_chain_data4[[#This Row],[Stock_levels]]&lt;=70,"Medium Stock","High Stock"))</f>
        <v>High Stock</v>
      </c>
      <c r="AA91" t="str">
        <f>IF(supply_chain_data4[[#This Row],[Lead_time]]&lt;=10,"Short",
IF(supply_chain_data4[[#This Row],[Lead_time]]&lt;=20,"Medium","Long"))</f>
        <v>Long</v>
      </c>
      <c r="AB91" t="str">
        <f>IF(supply_chain_data4[[#This Row],[Defect_rates]]&lt;2,"Low Defect",
IF(supply_chain_data4[[#This Row],[Defect_rates]]&lt;=4,"Medium Defect","High Defect"))</f>
        <v>Low Defect</v>
      </c>
      <c r="AC91" s="1">
        <f>supply_chain_data4[[#This Row],[Production_volumes]]*supply_chain_data4[[#This Row],[Manufacturing_costs]]</f>
        <v>17243.433151208454</v>
      </c>
      <c r="AD91" s="1">
        <f>supply_chain_data4[[#This Row],[Order_quantities]]*supply_chain_data4[[#This Row],[Shipping_costs]]</f>
        <v>268.10503862248601</v>
      </c>
      <c r="AE91" s="1">
        <f>supply_chain_data4[[#This Row],[Revenue_generated ]]-AC91-AD91</f>
        <v>-11586.855622977708</v>
      </c>
    </row>
    <row r="92" spans="1:31" x14ac:dyDescent="0.3">
      <c r="A92" t="s">
        <v>33</v>
      </c>
      <c r="B92" t="s">
        <v>144</v>
      </c>
      <c r="C92" s="1">
        <v>13.881913501359142</v>
      </c>
      <c r="D92" s="3">
        <v>56</v>
      </c>
      <c r="E92" s="3">
        <v>320</v>
      </c>
      <c r="F92" s="5">
        <v>9592.6335702803117</v>
      </c>
      <c r="G92" t="s">
        <v>26</v>
      </c>
      <c r="H92" s="3">
        <v>66</v>
      </c>
      <c r="I92">
        <v>18</v>
      </c>
      <c r="J92" s="3">
        <v>96</v>
      </c>
      <c r="K92">
        <v>7</v>
      </c>
      <c r="L92" t="s">
        <v>27</v>
      </c>
      <c r="M92" s="1">
        <v>7.6744307081126939</v>
      </c>
      <c r="N92" t="s">
        <v>28</v>
      </c>
      <c r="O92" t="s">
        <v>53</v>
      </c>
      <c r="P92" s="3">
        <v>8</v>
      </c>
      <c r="Q92" s="3">
        <v>585</v>
      </c>
      <c r="R92" s="3">
        <v>8</v>
      </c>
      <c r="S92" s="1">
        <v>85.675963335797974</v>
      </c>
      <c r="T92" t="s">
        <v>64</v>
      </c>
      <c r="U92" s="2">
        <v>1.2193822244013885</v>
      </c>
      <c r="V92" t="s">
        <v>47</v>
      </c>
      <c r="W92" t="s">
        <v>32</v>
      </c>
      <c r="X92" s="1">
        <v>990.07847250581119</v>
      </c>
      <c r="Y92" s="1">
        <f>supply_chain_data4[[#This Row],[Revenue_generated ]]/supply_chain_data4[[#This Row],[Number_of_products sold]]</f>
        <v>29.976979907125973</v>
      </c>
      <c r="Z92" t="str">
        <f>IF(supply_chain_data4[[#This Row],[Stock_levels]]&lt;30,"Low Stock",
IF(supply_chain_data4[[#This Row],[Stock_levels]]&lt;=70,"Medium Stock","High Stock"))</f>
        <v>Medium Stock</v>
      </c>
      <c r="AA92" t="str">
        <f>IF(supply_chain_data4[[#This Row],[Lead_time]]&lt;=10,"Short",
IF(supply_chain_data4[[#This Row],[Lead_time]]&lt;=20,"Medium","Long"))</f>
        <v>Short</v>
      </c>
      <c r="AB92" t="str">
        <f>IF(supply_chain_data4[[#This Row],[Defect_rates]]&lt;2,"Low Defect",
IF(supply_chain_data4[[#This Row],[Defect_rates]]&lt;=4,"Medium Defect","High Defect"))</f>
        <v>Low Defect</v>
      </c>
      <c r="AC92" s="1">
        <f>supply_chain_data4[[#This Row],[Production_volumes]]*supply_chain_data4[[#This Row],[Manufacturing_costs]]</f>
        <v>50120.438551441817</v>
      </c>
      <c r="AD92" s="1">
        <f>supply_chain_data4[[#This Row],[Order_quantities]]*supply_chain_data4[[#This Row],[Shipping_costs]]</f>
        <v>736.74534797881859</v>
      </c>
      <c r="AE92" s="1">
        <f>supply_chain_data4[[#This Row],[Revenue_generated ]]-AC92-AD92</f>
        <v>-41264.550329140322</v>
      </c>
    </row>
    <row r="93" spans="1:31" x14ac:dyDescent="0.3">
      <c r="A93" t="s">
        <v>57</v>
      </c>
      <c r="B93" t="s">
        <v>145</v>
      </c>
      <c r="C93" s="1">
        <v>62.111965463961788</v>
      </c>
      <c r="D93" s="3">
        <v>90</v>
      </c>
      <c r="E93" s="3">
        <v>916</v>
      </c>
      <c r="F93" s="5">
        <v>1935.2067935075991</v>
      </c>
      <c r="G93" t="s">
        <v>55</v>
      </c>
      <c r="H93" s="3">
        <v>98</v>
      </c>
      <c r="I93">
        <v>22</v>
      </c>
      <c r="J93" s="3">
        <v>85</v>
      </c>
      <c r="K93">
        <v>7</v>
      </c>
      <c r="L93" t="s">
        <v>27</v>
      </c>
      <c r="M93" s="1">
        <v>7.4715140844011456</v>
      </c>
      <c r="N93" t="s">
        <v>52</v>
      </c>
      <c r="O93" t="s">
        <v>50</v>
      </c>
      <c r="P93" s="3">
        <v>5</v>
      </c>
      <c r="Q93" s="3">
        <v>207</v>
      </c>
      <c r="R93" s="3">
        <v>28</v>
      </c>
      <c r="S93" s="1">
        <v>39.772882502339975</v>
      </c>
      <c r="T93" t="s">
        <v>30</v>
      </c>
      <c r="U93" s="2">
        <v>0.62600185820939458</v>
      </c>
      <c r="V93" t="s">
        <v>47</v>
      </c>
      <c r="W93" t="s">
        <v>32</v>
      </c>
      <c r="X93" s="1">
        <v>996.77831495062378</v>
      </c>
      <c r="Y93" s="1">
        <f>supply_chain_data4[[#This Row],[Revenue_generated ]]/supply_chain_data4[[#This Row],[Number_of_products sold]]</f>
        <v>2.1126711719515274</v>
      </c>
      <c r="Z93" t="str">
        <f>IF(supply_chain_data4[[#This Row],[Stock_levels]]&lt;30,"Low Stock",
IF(supply_chain_data4[[#This Row],[Stock_levels]]&lt;=70,"Medium Stock","High Stock"))</f>
        <v>High Stock</v>
      </c>
      <c r="AA93" t="str">
        <f>IF(supply_chain_data4[[#This Row],[Lead_time]]&lt;=10,"Short",
IF(supply_chain_data4[[#This Row],[Lead_time]]&lt;=20,"Medium","Long"))</f>
        <v>Short</v>
      </c>
      <c r="AB93" t="str">
        <f>IF(supply_chain_data4[[#This Row],[Defect_rates]]&lt;2,"Low Defect",
IF(supply_chain_data4[[#This Row],[Defect_rates]]&lt;=4,"Medium Defect","High Defect"))</f>
        <v>Low Defect</v>
      </c>
      <c r="AC93" s="1">
        <f>supply_chain_data4[[#This Row],[Production_volumes]]*supply_chain_data4[[#This Row],[Manufacturing_costs]]</f>
        <v>8232.9866779843742</v>
      </c>
      <c r="AD93" s="1">
        <f>supply_chain_data4[[#This Row],[Order_quantities]]*supply_chain_data4[[#This Row],[Shipping_costs]]</f>
        <v>635.07869717409733</v>
      </c>
      <c r="AE93" s="1">
        <f>supply_chain_data4[[#This Row],[Revenue_generated ]]-AC93-AD93</f>
        <v>-6932.8585816508721</v>
      </c>
    </row>
    <row r="94" spans="1:31" x14ac:dyDescent="0.3">
      <c r="A94" t="s">
        <v>57</v>
      </c>
      <c r="B94" t="s">
        <v>146</v>
      </c>
      <c r="C94" s="1">
        <v>47.714233075820232</v>
      </c>
      <c r="D94" s="3">
        <v>44</v>
      </c>
      <c r="E94" s="3">
        <v>276</v>
      </c>
      <c r="F94" s="5">
        <v>2100.1297546259366</v>
      </c>
      <c r="G94" t="s">
        <v>55</v>
      </c>
      <c r="H94" s="3">
        <v>90</v>
      </c>
      <c r="I94">
        <v>25</v>
      </c>
      <c r="J94" s="3">
        <v>10</v>
      </c>
      <c r="K94">
        <v>8</v>
      </c>
      <c r="L94" t="s">
        <v>27</v>
      </c>
      <c r="M94" s="1">
        <v>4.4695000261236011</v>
      </c>
      <c r="N94" t="s">
        <v>61</v>
      </c>
      <c r="O94" t="s">
        <v>29</v>
      </c>
      <c r="P94" s="3">
        <v>4</v>
      </c>
      <c r="Q94" s="3">
        <v>671</v>
      </c>
      <c r="R94" s="3">
        <v>29</v>
      </c>
      <c r="S94" s="1">
        <v>62.612690395614344</v>
      </c>
      <c r="T94" t="s">
        <v>64</v>
      </c>
      <c r="U94" s="2">
        <v>0.33343182522473924</v>
      </c>
      <c r="V94" t="s">
        <v>47</v>
      </c>
      <c r="W94" t="s">
        <v>32</v>
      </c>
      <c r="X94" s="1">
        <v>230.09278253676294</v>
      </c>
      <c r="Y94" s="1">
        <f>supply_chain_data4[[#This Row],[Revenue_generated ]]/supply_chain_data4[[#This Row],[Number_of_products sold]]</f>
        <v>7.6091657776302046</v>
      </c>
      <c r="Z94" t="str">
        <f>IF(supply_chain_data4[[#This Row],[Stock_levels]]&lt;30,"Low Stock",
IF(supply_chain_data4[[#This Row],[Stock_levels]]&lt;=70,"Medium Stock","High Stock"))</f>
        <v>High Stock</v>
      </c>
      <c r="AA94" t="str">
        <f>IF(supply_chain_data4[[#This Row],[Lead_time]]&lt;=10,"Short",
IF(supply_chain_data4[[#This Row],[Lead_time]]&lt;=20,"Medium","Long"))</f>
        <v>Short</v>
      </c>
      <c r="AB94" t="str">
        <f>IF(supply_chain_data4[[#This Row],[Defect_rates]]&lt;2,"Low Defect",
IF(supply_chain_data4[[#This Row],[Defect_rates]]&lt;=4,"Medium Defect","High Defect"))</f>
        <v>Low Defect</v>
      </c>
      <c r="AC94" s="1">
        <f>supply_chain_data4[[#This Row],[Production_volumes]]*supply_chain_data4[[#This Row],[Manufacturing_costs]]</f>
        <v>42013.115255457225</v>
      </c>
      <c r="AD94" s="1">
        <f>supply_chain_data4[[#This Row],[Order_quantities]]*supply_chain_data4[[#This Row],[Shipping_costs]]</f>
        <v>44.695000261236011</v>
      </c>
      <c r="AE94" s="1">
        <f>supply_chain_data4[[#This Row],[Revenue_generated ]]-AC94-AD94</f>
        <v>-39957.680501092524</v>
      </c>
    </row>
    <row r="95" spans="1:31" x14ac:dyDescent="0.3">
      <c r="A95" t="s">
        <v>24</v>
      </c>
      <c r="B95" t="s">
        <v>147</v>
      </c>
      <c r="C95" s="1">
        <v>69.290831002905492</v>
      </c>
      <c r="D95" s="3">
        <v>88</v>
      </c>
      <c r="E95" s="3">
        <v>114</v>
      </c>
      <c r="F95" s="5">
        <v>4531.4021336919095</v>
      </c>
      <c r="G95" t="s">
        <v>38</v>
      </c>
      <c r="H95" s="3">
        <v>63</v>
      </c>
      <c r="I95">
        <v>17</v>
      </c>
      <c r="J95" s="3">
        <v>66</v>
      </c>
      <c r="K95">
        <v>1</v>
      </c>
      <c r="L95" t="s">
        <v>43</v>
      </c>
      <c r="M95" s="1">
        <v>7.0064320590043945</v>
      </c>
      <c r="N95" t="s">
        <v>52</v>
      </c>
      <c r="O95" t="s">
        <v>62</v>
      </c>
      <c r="P95" s="3">
        <v>21</v>
      </c>
      <c r="Q95" s="3">
        <v>824</v>
      </c>
      <c r="R95" s="3">
        <v>20</v>
      </c>
      <c r="S95" s="1">
        <v>35.633652343343876</v>
      </c>
      <c r="T95" t="s">
        <v>46</v>
      </c>
      <c r="U95" s="2">
        <v>4.1657817954241452</v>
      </c>
      <c r="V95" t="s">
        <v>40</v>
      </c>
      <c r="W95" t="s">
        <v>48</v>
      </c>
      <c r="X95" s="1">
        <v>823.52384588815585</v>
      </c>
      <c r="Y95" s="1">
        <f>supply_chain_data4[[#This Row],[Revenue_generated ]]/supply_chain_data4[[#This Row],[Number_of_products sold]]</f>
        <v>39.74914152361324</v>
      </c>
      <c r="Z95" t="str">
        <f>IF(supply_chain_data4[[#This Row],[Stock_levels]]&lt;30,"Low Stock",
IF(supply_chain_data4[[#This Row],[Stock_levels]]&lt;=70,"Medium Stock","High Stock"))</f>
        <v>Medium Stock</v>
      </c>
      <c r="AA95" t="str">
        <f>IF(supply_chain_data4[[#This Row],[Lead_time]]&lt;=10,"Short",
IF(supply_chain_data4[[#This Row],[Lead_time]]&lt;=20,"Medium","Long"))</f>
        <v>Long</v>
      </c>
      <c r="AB95" t="str">
        <f>IF(supply_chain_data4[[#This Row],[Defect_rates]]&lt;2,"Low Defect",
IF(supply_chain_data4[[#This Row],[Defect_rates]]&lt;=4,"Medium Defect","High Defect"))</f>
        <v>High Defect</v>
      </c>
      <c r="AC95" s="1">
        <f>supply_chain_data4[[#This Row],[Production_volumes]]*supply_chain_data4[[#This Row],[Manufacturing_costs]]</f>
        <v>29362.129530915354</v>
      </c>
      <c r="AD95" s="1">
        <f>supply_chain_data4[[#This Row],[Order_quantities]]*supply_chain_data4[[#This Row],[Shipping_costs]]</f>
        <v>462.42451589429004</v>
      </c>
      <c r="AE95" s="1">
        <f>supply_chain_data4[[#This Row],[Revenue_generated ]]-AC95-AD95</f>
        <v>-25293.151913117734</v>
      </c>
    </row>
    <row r="96" spans="1:31" x14ac:dyDescent="0.3">
      <c r="A96" t="s">
        <v>57</v>
      </c>
      <c r="B96" t="s">
        <v>148</v>
      </c>
      <c r="C96" s="1">
        <v>3.0376887246314141</v>
      </c>
      <c r="D96" s="3">
        <v>97</v>
      </c>
      <c r="E96" s="3">
        <v>987</v>
      </c>
      <c r="F96" s="5">
        <v>7888.3565466618729</v>
      </c>
      <c r="G96" t="s">
        <v>38</v>
      </c>
      <c r="H96" s="3">
        <v>77</v>
      </c>
      <c r="I96">
        <v>26</v>
      </c>
      <c r="J96" s="3">
        <v>72</v>
      </c>
      <c r="K96">
        <v>9</v>
      </c>
      <c r="L96" t="s">
        <v>27</v>
      </c>
      <c r="M96" s="1">
        <v>6.9429459420325808</v>
      </c>
      <c r="N96" t="s">
        <v>61</v>
      </c>
      <c r="O96" t="s">
        <v>50</v>
      </c>
      <c r="P96" s="3">
        <v>12</v>
      </c>
      <c r="Q96" s="3">
        <v>908</v>
      </c>
      <c r="R96" s="3">
        <v>14</v>
      </c>
      <c r="S96" s="1">
        <v>60.387378614862122</v>
      </c>
      <c r="T96" t="s">
        <v>64</v>
      </c>
      <c r="U96" s="2">
        <v>1.4636074984727798</v>
      </c>
      <c r="V96" t="s">
        <v>47</v>
      </c>
      <c r="W96" t="s">
        <v>32</v>
      </c>
      <c r="X96" s="1">
        <v>846.66525698669477</v>
      </c>
      <c r="Y96" s="1">
        <f>supply_chain_data4[[#This Row],[Revenue_generated ]]/supply_chain_data4[[#This Row],[Number_of_products sold]]</f>
        <v>7.9922558730110165</v>
      </c>
      <c r="Z96" t="str">
        <f>IF(supply_chain_data4[[#This Row],[Stock_levels]]&lt;30,"Low Stock",
IF(supply_chain_data4[[#This Row],[Stock_levels]]&lt;=70,"Medium Stock","High Stock"))</f>
        <v>High Stock</v>
      </c>
      <c r="AA96" t="str">
        <f>IF(supply_chain_data4[[#This Row],[Lead_time]]&lt;=10,"Short",
IF(supply_chain_data4[[#This Row],[Lead_time]]&lt;=20,"Medium","Long"))</f>
        <v>Medium</v>
      </c>
      <c r="AB96" t="str">
        <f>IF(supply_chain_data4[[#This Row],[Defect_rates]]&lt;2,"Low Defect",
IF(supply_chain_data4[[#This Row],[Defect_rates]]&lt;=4,"Medium Defect","High Defect"))</f>
        <v>Low Defect</v>
      </c>
      <c r="AC96" s="1">
        <f>supply_chain_data4[[#This Row],[Production_volumes]]*supply_chain_data4[[#This Row],[Manufacturing_costs]]</f>
        <v>54831.739782294804</v>
      </c>
      <c r="AD96" s="1">
        <f>supply_chain_data4[[#This Row],[Order_quantities]]*supply_chain_data4[[#This Row],[Shipping_costs]]</f>
        <v>499.89210782634581</v>
      </c>
      <c r="AE96" s="1">
        <f>supply_chain_data4[[#This Row],[Revenue_generated ]]-AC96-AD96</f>
        <v>-47443.275343459274</v>
      </c>
    </row>
    <row r="97" spans="1:31" x14ac:dyDescent="0.3">
      <c r="A97" t="s">
        <v>24</v>
      </c>
      <c r="B97" t="s">
        <v>149</v>
      </c>
      <c r="C97" s="1">
        <v>77.903927219447752</v>
      </c>
      <c r="D97" s="3">
        <v>65</v>
      </c>
      <c r="E97" s="3">
        <v>672</v>
      </c>
      <c r="F97" s="5">
        <v>7386.3639440486641</v>
      </c>
      <c r="G97" t="s">
        <v>38</v>
      </c>
      <c r="H97" s="3">
        <v>15</v>
      </c>
      <c r="I97">
        <v>14</v>
      </c>
      <c r="J97" s="3">
        <v>26</v>
      </c>
      <c r="K97">
        <v>9</v>
      </c>
      <c r="L97" t="s">
        <v>27</v>
      </c>
      <c r="M97" s="1">
        <v>8.6303388696027543</v>
      </c>
      <c r="N97" t="s">
        <v>52</v>
      </c>
      <c r="O97" t="s">
        <v>29</v>
      </c>
      <c r="P97" s="3">
        <v>18</v>
      </c>
      <c r="Q97" s="3">
        <v>450</v>
      </c>
      <c r="R97" s="3">
        <v>26</v>
      </c>
      <c r="S97" s="1">
        <v>58.890685768589982</v>
      </c>
      <c r="T97" t="s">
        <v>30</v>
      </c>
      <c r="U97" s="2">
        <v>1.2108821295850665</v>
      </c>
      <c r="V97" t="s">
        <v>40</v>
      </c>
      <c r="W97" t="s">
        <v>48</v>
      </c>
      <c r="X97" s="1">
        <v>778.8642413766479</v>
      </c>
      <c r="Y97" s="1">
        <f>supply_chain_data4[[#This Row],[Revenue_generated ]]/supply_chain_data4[[#This Row],[Number_of_products sold]]</f>
        <v>10.991613011977179</v>
      </c>
      <c r="Z97" t="str">
        <f>IF(supply_chain_data4[[#This Row],[Stock_levels]]&lt;30,"Low Stock",
IF(supply_chain_data4[[#This Row],[Stock_levels]]&lt;=70,"Medium Stock","High Stock"))</f>
        <v>Low Stock</v>
      </c>
      <c r="AA97" t="str">
        <f>IF(supply_chain_data4[[#This Row],[Lead_time]]&lt;=10,"Short",
IF(supply_chain_data4[[#This Row],[Lead_time]]&lt;=20,"Medium","Long"))</f>
        <v>Medium</v>
      </c>
      <c r="AB97" t="str">
        <f>IF(supply_chain_data4[[#This Row],[Defect_rates]]&lt;2,"Low Defect",
IF(supply_chain_data4[[#This Row],[Defect_rates]]&lt;=4,"Medium Defect","High Defect"))</f>
        <v>Low Defect</v>
      </c>
      <c r="AC97" s="1">
        <f>supply_chain_data4[[#This Row],[Production_volumes]]*supply_chain_data4[[#This Row],[Manufacturing_costs]]</f>
        <v>26500.808595865492</v>
      </c>
      <c r="AD97" s="1">
        <f>supply_chain_data4[[#This Row],[Order_quantities]]*supply_chain_data4[[#This Row],[Shipping_costs]]</f>
        <v>224.38881060967162</v>
      </c>
      <c r="AE97" s="1">
        <f>supply_chain_data4[[#This Row],[Revenue_generated ]]-AC97-AD97</f>
        <v>-19338.833462426497</v>
      </c>
    </row>
    <row r="98" spans="1:31" x14ac:dyDescent="0.3">
      <c r="A98" t="s">
        <v>57</v>
      </c>
      <c r="B98" t="s">
        <v>150</v>
      </c>
      <c r="C98" s="1">
        <v>24.42313142037338</v>
      </c>
      <c r="D98" s="3">
        <v>29</v>
      </c>
      <c r="E98" s="3">
        <v>324</v>
      </c>
      <c r="F98" s="5">
        <v>7698.4247656321168</v>
      </c>
      <c r="G98" t="s">
        <v>26</v>
      </c>
      <c r="H98" s="3">
        <v>67</v>
      </c>
      <c r="I98">
        <v>2</v>
      </c>
      <c r="J98" s="3">
        <v>32</v>
      </c>
      <c r="K98">
        <v>3</v>
      </c>
      <c r="L98" t="s">
        <v>43</v>
      </c>
      <c r="M98" s="1">
        <v>5.3528780439968093</v>
      </c>
      <c r="N98" t="s">
        <v>28</v>
      </c>
      <c r="O98" t="s">
        <v>29</v>
      </c>
      <c r="P98" s="3">
        <v>28</v>
      </c>
      <c r="Q98" s="3">
        <v>648</v>
      </c>
      <c r="R98" s="3">
        <v>28</v>
      </c>
      <c r="S98" s="1">
        <v>17.80375633139127</v>
      </c>
      <c r="T98" t="s">
        <v>30</v>
      </c>
      <c r="U98" s="2">
        <v>3.8720476814821332</v>
      </c>
      <c r="V98" t="s">
        <v>31</v>
      </c>
      <c r="W98" t="s">
        <v>48</v>
      </c>
      <c r="X98" s="1">
        <v>188.74214114905698</v>
      </c>
      <c r="Y98" s="1">
        <f>supply_chain_data4[[#This Row],[Revenue_generated ]]/supply_chain_data4[[#This Row],[Number_of_products sold]]</f>
        <v>23.760570264296657</v>
      </c>
      <c r="Z98" t="str">
        <f>IF(supply_chain_data4[[#This Row],[Stock_levels]]&lt;30,"Low Stock",
IF(supply_chain_data4[[#This Row],[Stock_levels]]&lt;=70,"Medium Stock","High Stock"))</f>
        <v>Medium Stock</v>
      </c>
      <c r="AA98" t="str">
        <f>IF(supply_chain_data4[[#This Row],[Lead_time]]&lt;=10,"Short",
IF(supply_chain_data4[[#This Row],[Lead_time]]&lt;=20,"Medium","Long"))</f>
        <v>Long</v>
      </c>
      <c r="AB98" t="str">
        <f>IF(supply_chain_data4[[#This Row],[Defect_rates]]&lt;2,"Low Defect",
IF(supply_chain_data4[[#This Row],[Defect_rates]]&lt;=4,"Medium Defect","High Defect"))</f>
        <v>Medium Defect</v>
      </c>
      <c r="AC98" s="1">
        <f>supply_chain_data4[[#This Row],[Production_volumes]]*supply_chain_data4[[#This Row],[Manufacturing_costs]]</f>
        <v>11536.834102741543</v>
      </c>
      <c r="AD98" s="1">
        <f>supply_chain_data4[[#This Row],[Order_quantities]]*supply_chain_data4[[#This Row],[Shipping_costs]]</f>
        <v>171.2920974078979</v>
      </c>
      <c r="AE98" s="1">
        <f>supply_chain_data4[[#This Row],[Revenue_generated ]]-AC98-AD98</f>
        <v>-4009.7014345173238</v>
      </c>
    </row>
    <row r="99" spans="1:31" x14ac:dyDescent="0.3">
      <c r="A99" t="s">
        <v>24</v>
      </c>
      <c r="B99" t="s">
        <v>151</v>
      </c>
      <c r="C99" s="1">
        <v>3.5261112591434158</v>
      </c>
      <c r="D99" s="3">
        <v>56</v>
      </c>
      <c r="E99" s="3">
        <v>62</v>
      </c>
      <c r="F99" s="5">
        <v>4370.9165799845359</v>
      </c>
      <c r="G99" t="s">
        <v>55</v>
      </c>
      <c r="H99" s="3">
        <v>46</v>
      </c>
      <c r="I99">
        <v>19</v>
      </c>
      <c r="J99" s="3">
        <v>4</v>
      </c>
      <c r="K99">
        <v>9</v>
      </c>
      <c r="L99" t="s">
        <v>36</v>
      </c>
      <c r="M99" s="1">
        <v>7.9048456112096748</v>
      </c>
      <c r="N99" t="s">
        <v>52</v>
      </c>
      <c r="O99" t="s">
        <v>29</v>
      </c>
      <c r="P99" s="3">
        <v>10</v>
      </c>
      <c r="Q99" s="3">
        <v>535</v>
      </c>
      <c r="R99" s="3">
        <v>13</v>
      </c>
      <c r="S99" s="1">
        <v>65.765155926367456</v>
      </c>
      <c r="T99" t="s">
        <v>46</v>
      </c>
      <c r="U99" s="2">
        <v>3.3762378347179811</v>
      </c>
      <c r="V99" t="s">
        <v>31</v>
      </c>
      <c r="W99" t="s">
        <v>48</v>
      </c>
      <c r="X99" s="1">
        <v>540.13242286796776</v>
      </c>
      <c r="Y99" s="1">
        <f>supply_chain_data4[[#This Row],[Revenue_generated ]]/supply_chain_data4[[#This Row],[Number_of_products sold]]</f>
        <v>70.498654515879608</v>
      </c>
      <c r="Z99" t="str">
        <f>IF(supply_chain_data4[[#This Row],[Stock_levels]]&lt;30,"Low Stock",
IF(supply_chain_data4[[#This Row],[Stock_levels]]&lt;=70,"Medium Stock","High Stock"))</f>
        <v>Medium Stock</v>
      </c>
      <c r="AA99" t="str">
        <f>IF(supply_chain_data4[[#This Row],[Lead_time]]&lt;=10,"Short",
IF(supply_chain_data4[[#This Row],[Lead_time]]&lt;=20,"Medium","Long"))</f>
        <v>Short</v>
      </c>
      <c r="AB99" t="str">
        <f>IF(supply_chain_data4[[#This Row],[Defect_rates]]&lt;2,"Low Defect",
IF(supply_chain_data4[[#This Row],[Defect_rates]]&lt;=4,"Medium Defect","High Defect"))</f>
        <v>Medium Defect</v>
      </c>
      <c r="AC99" s="1">
        <f>supply_chain_data4[[#This Row],[Production_volumes]]*supply_chain_data4[[#This Row],[Manufacturing_costs]]</f>
        <v>35184.358420606586</v>
      </c>
      <c r="AD99" s="1">
        <f>supply_chain_data4[[#This Row],[Order_quantities]]*supply_chain_data4[[#This Row],[Shipping_costs]]</f>
        <v>31.619382444838699</v>
      </c>
      <c r="AE99" s="1">
        <f>supply_chain_data4[[#This Row],[Revenue_generated ]]-AC99-AD99</f>
        <v>-30845.061223066888</v>
      </c>
    </row>
    <row r="100" spans="1:31" x14ac:dyDescent="0.3">
      <c r="A100" t="s">
        <v>33</v>
      </c>
      <c r="B100" t="s">
        <v>152</v>
      </c>
      <c r="C100" s="1">
        <v>19.754604866878601</v>
      </c>
      <c r="D100" s="3">
        <v>43</v>
      </c>
      <c r="E100" s="3">
        <v>913</v>
      </c>
      <c r="F100" s="5">
        <v>8525.9525596835265</v>
      </c>
      <c r="G100" t="s">
        <v>35</v>
      </c>
      <c r="H100" s="3">
        <v>53</v>
      </c>
      <c r="I100">
        <v>1</v>
      </c>
      <c r="J100" s="3">
        <v>27</v>
      </c>
      <c r="K100">
        <v>7</v>
      </c>
      <c r="L100" t="s">
        <v>27</v>
      </c>
      <c r="M100" s="1">
        <v>1.4098010951380731</v>
      </c>
      <c r="N100" t="s">
        <v>44</v>
      </c>
      <c r="O100" t="s">
        <v>62</v>
      </c>
      <c r="P100" s="3">
        <v>28</v>
      </c>
      <c r="Q100" s="3">
        <v>581</v>
      </c>
      <c r="R100" s="3">
        <v>9</v>
      </c>
      <c r="S100" s="1">
        <v>5.604690864371781</v>
      </c>
      <c r="T100" t="s">
        <v>30</v>
      </c>
      <c r="U100" s="2">
        <v>2.9081221693512611</v>
      </c>
      <c r="V100" t="s">
        <v>47</v>
      </c>
      <c r="W100" t="s">
        <v>48</v>
      </c>
      <c r="X100" s="1">
        <v>882.19886354704147</v>
      </c>
      <c r="Y100" s="1">
        <f>supply_chain_data4[[#This Row],[Revenue_generated ]]/supply_chain_data4[[#This Row],[Number_of_products sold]]</f>
        <v>9.3383927269260969</v>
      </c>
      <c r="Z100" t="str">
        <f>IF(supply_chain_data4[[#This Row],[Stock_levels]]&lt;30,"Low Stock",
IF(supply_chain_data4[[#This Row],[Stock_levels]]&lt;=70,"Medium Stock","High Stock"))</f>
        <v>Medium Stock</v>
      </c>
      <c r="AA100" t="str">
        <f>IF(supply_chain_data4[[#This Row],[Lead_time]]&lt;=10,"Short",
IF(supply_chain_data4[[#This Row],[Lead_time]]&lt;=20,"Medium","Long"))</f>
        <v>Long</v>
      </c>
      <c r="AB100" t="str">
        <f>IF(supply_chain_data4[[#This Row],[Defect_rates]]&lt;2,"Low Defect",
IF(supply_chain_data4[[#This Row],[Defect_rates]]&lt;=4,"Medium Defect","High Defect"))</f>
        <v>Medium Defect</v>
      </c>
      <c r="AC100" s="1">
        <f>supply_chain_data4[[#This Row],[Production_volumes]]*supply_chain_data4[[#This Row],[Manufacturing_costs]]</f>
        <v>3256.3253922000049</v>
      </c>
      <c r="AD100" s="1">
        <f>supply_chain_data4[[#This Row],[Order_quantities]]*supply_chain_data4[[#This Row],[Shipping_costs]]</f>
        <v>38.064629568727973</v>
      </c>
      <c r="AE100" s="1">
        <f>supply_chain_data4[[#This Row],[Revenue_generated ]]-AC100-AD100</f>
        <v>5231.5625379147932</v>
      </c>
    </row>
    <row r="101" spans="1:31" x14ac:dyDescent="0.3">
      <c r="A101" t="s">
        <v>24</v>
      </c>
      <c r="B101" t="s">
        <v>153</v>
      </c>
      <c r="C101" s="1">
        <v>68.517832699276639</v>
      </c>
      <c r="D101" s="3">
        <v>17</v>
      </c>
      <c r="E101" s="3">
        <v>627</v>
      </c>
      <c r="F101" s="5">
        <v>9185.1858291817043</v>
      </c>
      <c r="G101" t="s">
        <v>38</v>
      </c>
      <c r="H101" s="3">
        <v>55</v>
      </c>
      <c r="I101">
        <v>8</v>
      </c>
      <c r="J101" s="3">
        <v>59</v>
      </c>
      <c r="K101">
        <v>6</v>
      </c>
      <c r="L101" t="s">
        <v>27</v>
      </c>
      <c r="M101" s="1">
        <v>1.3110237561206226</v>
      </c>
      <c r="N101" t="s">
        <v>61</v>
      </c>
      <c r="O101" t="s">
        <v>62</v>
      </c>
      <c r="P101" s="3">
        <v>29</v>
      </c>
      <c r="Q101" s="3">
        <v>921</v>
      </c>
      <c r="R101" s="3">
        <v>2</v>
      </c>
      <c r="S101" s="1">
        <v>38.07289852062604</v>
      </c>
      <c r="T101" t="s">
        <v>46</v>
      </c>
      <c r="U101" s="2">
        <v>0.34602729070550342</v>
      </c>
      <c r="V101" t="s">
        <v>47</v>
      </c>
      <c r="W101" t="s">
        <v>32</v>
      </c>
      <c r="X101" s="1">
        <v>210.74300896424614</v>
      </c>
      <c r="Y101" s="1">
        <f>supply_chain_data4[[#This Row],[Revenue_generated ]]/supply_chain_data4[[#This Row],[Number_of_products sold]]</f>
        <v>14.649419185297774</v>
      </c>
      <c r="Z101" t="str">
        <f>IF(supply_chain_data4[[#This Row],[Stock_levels]]&lt;30,"Low Stock",
IF(supply_chain_data4[[#This Row],[Stock_levels]]&lt;=70,"Medium Stock","High Stock"))</f>
        <v>Medium Stock</v>
      </c>
      <c r="AA101" t="str">
        <f>IF(supply_chain_data4[[#This Row],[Lead_time]]&lt;=10,"Short",
IF(supply_chain_data4[[#This Row],[Lead_time]]&lt;=20,"Medium","Long"))</f>
        <v>Long</v>
      </c>
      <c r="AB101" t="str">
        <f>IF(supply_chain_data4[[#This Row],[Defect_rates]]&lt;2,"Low Defect",
IF(supply_chain_data4[[#This Row],[Defect_rates]]&lt;=4,"Medium Defect","High Defect"))</f>
        <v>Low Defect</v>
      </c>
      <c r="AC101" s="1">
        <f>supply_chain_data4[[#This Row],[Production_volumes]]*supply_chain_data4[[#This Row],[Manufacturing_costs]]</f>
        <v>35065.13953749658</v>
      </c>
      <c r="AD101" s="1">
        <f>supply_chain_data4[[#This Row],[Order_quantities]]*supply_chain_data4[[#This Row],[Shipping_costs]]</f>
        <v>77.350401611116737</v>
      </c>
      <c r="AE101" s="1">
        <f>supply_chain_data4[[#This Row],[Revenue_generated ]]-AC101-AD101</f>
        <v>-25957.304109925994</v>
      </c>
    </row>
  </sheetData>
  <conditionalFormatting sqref="AE1:AE1048576">
    <cfRule type="cellIs" dxfId="1" priority="1" operator="lessThan">
      <formula>0</formula>
    </cfRule>
    <cfRule type="cellIs" dxfId="0" priority="2" operator="lessThan">
      <formula>0</formula>
    </cfRule>
  </conditionalFormatting>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96A73-6D95-4323-91DE-9331E5568866}">
  <dimension ref="A3:B11"/>
  <sheetViews>
    <sheetView topLeftCell="CP1" workbookViewId="0">
      <selection activeCell="K26" sqref="K26"/>
    </sheetView>
  </sheetViews>
  <sheetFormatPr defaultRowHeight="14.4" x14ac:dyDescent="0.3"/>
  <cols>
    <col min="1" max="1" width="26.21875" customWidth="1"/>
    <col min="2" max="2" width="20.6640625" customWidth="1"/>
    <col min="3" max="3" width="8.88671875" customWidth="1"/>
  </cols>
  <sheetData>
    <row r="3" spans="1:2" x14ac:dyDescent="0.3">
      <c r="A3" s="6" t="s">
        <v>177</v>
      </c>
      <c r="B3" s="5">
        <f>SUM(Data_Cleaning!F2:F101)</f>
        <v>577604.81873800862</v>
      </c>
    </row>
    <row r="4" spans="1:2" x14ac:dyDescent="0.3">
      <c r="A4" s="6" t="s">
        <v>175</v>
      </c>
      <c r="B4" s="7">
        <f>SUM(Data_Cleaning!E2:E101)</f>
        <v>46099</v>
      </c>
    </row>
    <row r="5" spans="1:2" x14ac:dyDescent="0.3">
      <c r="A5" t="s">
        <v>176</v>
      </c>
      <c r="B5" s="1">
        <f>SUM(Data_Cleaning!AE2:AE101)</f>
        <v>-2172598.36234143</v>
      </c>
    </row>
    <row r="6" spans="1:2" x14ac:dyDescent="0.3">
      <c r="A6" t="s">
        <v>160</v>
      </c>
      <c r="B6" s="3">
        <f>AVERAGE(Data_Cleaning!P2:P101)</f>
        <v>17.079999999999998</v>
      </c>
    </row>
    <row r="7" spans="1:2" ht="28.8" x14ac:dyDescent="0.3">
      <c r="A7" s="6" t="s">
        <v>178</v>
      </c>
      <c r="B7" s="2">
        <f>AVERAGE(Data_Cleaning!U2:U101)</f>
        <v>2.2771579927396108</v>
      </c>
    </row>
    <row r="8" spans="1:2" x14ac:dyDescent="0.3">
      <c r="A8" s="8" t="s">
        <v>179</v>
      </c>
      <c r="B8" s="1">
        <f>SUM(Data_Cleaning!AD2:AD101)</f>
        <v>27337.947955035281</v>
      </c>
    </row>
    <row r="9" spans="1:2" x14ac:dyDescent="0.3">
      <c r="A9" s="6" t="s">
        <v>180</v>
      </c>
      <c r="B9" s="3">
        <f>SUM(Data_Cleaning!Q2:Q101)</f>
        <v>56784</v>
      </c>
    </row>
    <row r="10" spans="1:2" x14ac:dyDescent="0.3">
      <c r="A10" s="8" t="s">
        <v>181</v>
      </c>
      <c r="B10" s="1">
        <f>AVERAGE(Data_Cleaning!S2:S101)</f>
        <v>47.266693241469909</v>
      </c>
    </row>
    <row r="11" spans="1:2" x14ac:dyDescent="0.3">
      <c r="A11" t="s">
        <v>182</v>
      </c>
      <c r="B11">
        <f>AVERAGE(Data_Cleaning!K2:K101)</f>
        <v>5.75</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7EBE8-DA99-4F8F-B076-906B8809B2E9}">
  <dimension ref="A3:B7"/>
  <sheetViews>
    <sheetView workbookViewId="0">
      <selection activeCell="P19" sqref="P19"/>
    </sheetView>
  </sheetViews>
  <sheetFormatPr defaultRowHeight="14.4" x14ac:dyDescent="0.3"/>
  <cols>
    <col min="1" max="1" width="12.5546875" bestFit="1" customWidth="1"/>
    <col min="2" max="2" width="25.109375" bestFit="1" customWidth="1"/>
  </cols>
  <sheetData>
    <row r="3" spans="1:2" x14ac:dyDescent="0.3">
      <c r="A3" s="9" t="s">
        <v>184</v>
      </c>
      <c r="B3" t="s">
        <v>186</v>
      </c>
    </row>
    <row r="4" spans="1:2" x14ac:dyDescent="0.3">
      <c r="A4" s="10" t="s">
        <v>57</v>
      </c>
      <c r="B4" s="5">
        <v>161521.26599948312</v>
      </c>
    </row>
    <row r="5" spans="1:2" x14ac:dyDescent="0.3">
      <c r="A5" s="10" t="s">
        <v>24</v>
      </c>
      <c r="B5" s="5">
        <v>174455.39060546231</v>
      </c>
    </row>
    <row r="6" spans="1:2" x14ac:dyDescent="0.3">
      <c r="A6" s="10" t="s">
        <v>33</v>
      </c>
      <c r="B6" s="5">
        <v>241628.16213306325</v>
      </c>
    </row>
    <row r="7" spans="1:2" x14ac:dyDescent="0.3">
      <c r="A7" s="10" t="s">
        <v>185</v>
      </c>
      <c r="B7" s="5">
        <v>577604.81873800862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A7B97-C2A3-4573-AD20-9AA14EF79038}">
  <dimension ref="A3:B7"/>
  <sheetViews>
    <sheetView workbookViewId="0">
      <selection activeCell="L6" sqref="L6"/>
    </sheetView>
  </sheetViews>
  <sheetFormatPr defaultRowHeight="14.4" x14ac:dyDescent="0.3"/>
  <cols>
    <col min="1" max="1" width="12.5546875" bestFit="1" customWidth="1"/>
    <col min="2" max="2" width="30" bestFit="1" customWidth="1"/>
  </cols>
  <sheetData>
    <row r="3" spans="1:2" x14ac:dyDescent="0.3">
      <c r="A3" s="9" t="s">
        <v>184</v>
      </c>
      <c r="B3" t="s">
        <v>187</v>
      </c>
    </row>
    <row r="4" spans="1:2" x14ac:dyDescent="0.3">
      <c r="A4" s="10" t="s">
        <v>57</v>
      </c>
      <c r="B4" s="11">
        <v>11757</v>
      </c>
    </row>
    <row r="5" spans="1:2" x14ac:dyDescent="0.3">
      <c r="A5" s="10" t="s">
        <v>24</v>
      </c>
      <c r="B5" s="11">
        <v>13611</v>
      </c>
    </row>
    <row r="6" spans="1:2" x14ac:dyDescent="0.3">
      <c r="A6" s="10" t="s">
        <v>33</v>
      </c>
      <c r="B6" s="11">
        <v>20731</v>
      </c>
    </row>
    <row r="7" spans="1:2" x14ac:dyDescent="0.3">
      <c r="A7" s="10" t="s">
        <v>185</v>
      </c>
      <c r="B7" s="11">
        <v>46099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41CB0-E3C4-4D7E-84E2-C5A2A3D31D67}">
  <dimension ref="A3:B9"/>
  <sheetViews>
    <sheetView workbookViewId="0">
      <selection activeCell="M12" sqref="M12"/>
    </sheetView>
  </sheetViews>
  <sheetFormatPr defaultRowHeight="14.4" x14ac:dyDescent="0.3"/>
  <cols>
    <col min="1" max="1" width="12.5546875" bestFit="1" customWidth="1"/>
    <col min="2" max="2" width="25.109375" bestFit="1" customWidth="1"/>
  </cols>
  <sheetData>
    <row r="3" spans="1:2" x14ac:dyDescent="0.3">
      <c r="A3" s="9" t="s">
        <v>184</v>
      </c>
      <c r="B3" t="s">
        <v>186</v>
      </c>
    </row>
    <row r="4" spans="1:2" x14ac:dyDescent="0.3">
      <c r="A4" s="10" t="s">
        <v>39</v>
      </c>
      <c r="B4" s="5">
        <v>157528.99503945649</v>
      </c>
    </row>
    <row r="5" spans="1:2" x14ac:dyDescent="0.3">
      <c r="A5" s="10" t="s">
        <v>61</v>
      </c>
      <c r="B5" s="5">
        <v>125467.41860530032</v>
      </c>
    </row>
    <row r="6" spans="1:2" x14ac:dyDescent="0.3">
      <c r="A6" s="10" t="s">
        <v>44</v>
      </c>
      <c r="B6" s="5">
        <v>110343.46365628691</v>
      </c>
    </row>
    <row r="7" spans="1:2" x14ac:dyDescent="0.3">
      <c r="A7" s="10" t="s">
        <v>28</v>
      </c>
      <c r="B7" s="5">
        <v>97795.979638162244</v>
      </c>
    </row>
    <row r="8" spans="1:2" x14ac:dyDescent="0.3">
      <c r="A8" s="10" t="s">
        <v>52</v>
      </c>
      <c r="B8" s="5">
        <v>86468.961798802775</v>
      </c>
    </row>
    <row r="9" spans="1:2" x14ac:dyDescent="0.3">
      <c r="A9" s="10" t="s">
        <v>185</v>
      </c>
      <c r="B9" s="5">
        <v>577604.81873800873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16DF2-F435-497E-B27F-E8D891BD13F4}">
  <dimension ref="A3:B9"/>
  <sheetViews>
    <sheetView workbookViewId="0">
      <selection activeCell="F18" sqref="F18"/>
    </sheetView>
  </sheetViews>
  <sheetFormatPr defaultRowHeight="14.4" x14ac:dyDescent="0.3"/>
  <cols>
    <col min="1" max="1" width="12.5546875" bestFit="1" customWidth="1"/>
    <col min="2" max="2" width="19.5546875" bestFit="1" customWidth="1"/>
  </cols>
  <sheetData>
    <row r="3" spans="1:2" x14ac:dyDescent="0.3">
      <c r="A3" s="9" t="s">
        <v>184</v>
      </c>
      <c r="B3" t="s">
        <v>188</v>
      </c>
    </row>
    <row r="4" spans="1:2" x14ac:dyDescent="0.3">
      <c r="A4" s="10" t="s">
        <v>28</v>
      </c>
      <c r="B4" s="3">
        <v>20.133333333333333</v>
      </c>
    </row>
    <row r="5" spans="1:2" x14ac:dyDescent="0.3">
      <c r="A5" s="10" t="s">
        <v>61</v>
      </c>
      <c r="B5" s="3">
        <v>18.545454545454547</v>
      </c>
    </row>
    <row r="6" spans="1:2" x14ac:dyDescent="0.3">
      <c r="A6" s="10" t="s">
        <v>44</v>
      </c>
      <c r="B6" s="3">
        <v>18.055555555555557</v>
      </c>
    </row>
    <row r="7" spans="1:2" x14ac:dyDescent="0.3">
      <c r="A7" s="10" t="s">
        <v>52</v>
      </c>
      <c r="B7" s="3">
        <v>15.222222222222221</v>
      </c>
    </row>
    <row r="8" spans="1:2" x14ac:dyDescent="0.3">
      <c r="A8" s="10" t="s">
        <v>39</v>
      </c>
      <c r="B8" s="3">
        <v>14.777777777777779</v>
      </c>
    </row>
    <row r="9" spans="1:2" x14ac:dyDescent="0.3">
      <c r="A9" s="10" t="s">
        <v>185</v>
      </c>
      <c r="B9" s="3">
        <v>17.079999999999998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DF913-03E1-4538-876D-C5E913AD5807}">
  <dimension ref="A3:C8"/>
  <sheetViews>
    <sheetView workbookViewId="0">
      <selection activeCell="J20" sqref="J20"/>
    </sheetView>
  </sheetViews>
  <sheetFormatPr defaultRowHeight="14.4" x14ac:dyDescent="0.3"/>
  <cols>
    <col min="1" max="1" width="12.5546875" bestFit="1" customWidth="1"/>
    <col min="2" max="2" width="20.21875" bestFit="1" customWidth="1"/>
    <col min="3" max="3" width="23.77734375" bestFit="1" customWidth="1"/>
  </cols>
  <sheetData>
    <row r="3" spans="1:3" x14ac:dyDescent="0.3">
      <c r="A3" s="9" t="s">
        <v>184</v>
      </c>
      <c r="B3" t="s">
        <v>189</v>
      </c>
      <c r="C3" s="4" t="s">
        <v>190</v>
      </c>
    </row>
    <row r="4" spans="1:3" x14ac:dyDescent="0.3">
      <c r="A4" s="10" t="s">
        <v>40</v>
      </c>
      <c r="B4" s="1">
        <v>156.46382382094407</v>
      </c>
      <c r="C4" s="2">
        <v>5.115384615384615</v>
      </c>
    </row>
    <row r="5" spans="1:3" x14ac:dyDescent="0.3">
      <c r="A5" s="10" t="s">
        <v>47</v>
      </c>
      <c r="B5" s="1">
        <v>153.13474221088009</v>
      </c>
      <c r="C5" s="2">
        <v>6.5714285714285712</v>
      </c>
    </row>
    <row r="6" spans="1:3" x14ac:dyDescent="0.3">
      <c r="A6" s="10" t="s">
        <v>31</v>
      </c>
      <c r="B6" s="1">
        <v>160.72134631132815</v>
      </c>
      <c r="C6" s="2">
        <v>4.7241379310344831</v>
      </c>
    </row>
    <row r="7" spans="1:3" x14ac:dyDescent="0.3">
      <c r="A7" s="10" t="s">
        <v>56</v>
      </c>
      <c r="B7" s="1">
        <v>84.494994858806365</v>
      </c>
      <c r="C7" s="2">
        <v>7.117647058823529</v>
      </c>
    </row>
    <row r="8" spans="1:3" x14ac:dyDescent="0.3">
      <c r="A8" s="10" t="s">
        <v>185</v>
      </c>
      <c r="B8" s="1">
        <v>554.81490720195848</v>
      </c>
      <c r="C8" s="2">
        <v>5.75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B3B58-347E-42F7-9DF4-737A658E1C12}">
  <dimension ref="A3:B7"/>
  <sheetViews>
    <sheetView workbookViewId="0">
      <selection activeCell="G19" sqref="G19"/>
    </sheetView>
  </sheetViews>
  <sheetFormatPr defaultRowHeight="14.4" x14ac:dyDescent="0.3"/>
  <cols>
    <col min="1" max="1" width="12.5546875" bestFit="1" customWidth="1"/>
    <col min="2" max="2" width="12.21875" bestFit="1" customWidth="1"/>
  </cols>
  <sheetData>
    <row r="3" spans="1:2" x14ac:dyDescent="0.3">
      <c r="A3" s="9" t="s">
        <v>184</v>
      </c>
      <c r="B3" t="s">
        <v>191</v>
      </c>
    </row>
    <row r="4" spans="1:2" x14ac:dyDescent="0.3">
      <c r="A4" s="10" t="s">
        <v>30</v>
      </c>
      <c r="B4">
        <v>41</v>
      </c>
    </row>
    <row r="5" spans="1:2" x14ac:dyDescent="0.3">
      <c r="A5" s="10" t="s">
        <v>46</v>
      </c>
      <c r="B5">
        <v>36</v>
      </c>
    </row>
    <row r="6" spans="1:2" x14ac:dyDescent="0.3">
      <c r="A6" s="10" t="s">
        <v>64</v>
      </c>
      <c r="B6">
        <v>23</v>
      </c>
    </row>
    <row r="7" spans="1:2" x14ac:dyDescent="0.3">
      <c r="A7" s="10" t="s">
        <v>185</v>
      </c>
      <c r="B7">
        <v>100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A3186-D2AA-40DD-AEBD-932BE9E740F2}">
  <dimension ref="A4:B15"/>
  <sheetViews>
    <sheetView workbookViewId="0">
      <selection activeCell="N19" sqref="N19"/>
    </sheetView>
  </sheetViews>
  <sheetFormatPr defaultRowHeight="14.4" x14ac:dyDescent="0.3"/>
  <cols>
    <col min="1" max="1" width="12.5546875" bestFit="1" customWidth="1"/>
    <col min="2" max="2" width="25.109375" bestFit="1" customWidth="1"/>
  </cols>
  <sheetData>
    <row r="4" spans="1:2" x14ac:dyDescent="0.3">
      <c r="A4" s="9" t="s">
        <v>184</v>
      </c>
      <c r="B4" t="s">
        <v>186</v>
      </c>
    </row>
    <row r="5" spans="1:2" x14ac:dyDescent="0.3">
      <c r="A5" s="10" t="s">
        <v>105</v>
      </c>
      <c r="B5" s="5">
        <v>9866.465457979697</v>
      </c>
    </row>
    <row r="6" spans="1:2" x14ac:dyDescent="0.3">
      <c r="A6" s="10" t="s">
        <v>92</v>
      </c>
      <c r="B6" s="5">
        <v>9692.3180402184316</v>
      </c>
    </row>
    <row r="7" spans="1:2" x14ac:dyDescent="0.3">
      <c r="A7" s="10" t="s">
        <v>85</v>
      </c>
      <c r="B7" s="5">
        <v>9655.1351027193978</v>
      </c>
    </row>
    <row r="8" spans="1:2" x14ac:dyDescent="0.3">
      <c r="A8" s="10" t="s">
        <v>144</v>
      </c>
      <c r="B8" s="5">
        <v>9592.6335702803117</v>
      </c>
    </row>
    <row r="9" spans="1:2" x14ac:dyDescent="0.3">
      <c r="A9" s="10" t="s">
        <v>37</v>
      </c>
      <c r="B9" s="5">
        <v>9577.7496258687297</v>
      </c>
    </row>
    <row r="10" spans="1:2" x14ac:dyDescent="0.3">
      <c r="A10" s="10" t="s">
        <v>86</v>
      </c>
      <c r="B10" s="5">
        <v>9571.5504873278187</v>
      </c>
    </row>
    <row r="11" spans="1:2" x14ac:dyDescent="0.3">
      <c r="A11" s="10" t="s">
        <v>121</v>
      </c>
      <c r="B11" s="5">
        <v>9473.7980325083372</v>
      </c>
    </row>
    <row r="12" spans="1:2" x14ac:dyDescent="0.3">
      <c r="A12" s="10" t="s">
        <v>142</v>
      </c>
      <c r="B12" s="5">
        <v>9444.7420330629793</v>
      </c>
    </row>
    <row r="13" spans="1:2" x14ac:dyDescent="0.3">
      <c r="A13" s="10" t="s">
        <v>106</v>
      </c>
      <c r="B13" s="5">
        <v>9435.7626089121295</v>
      </c>
    </row>
    <row r="14" spans="1:2" x14ac:dyDescent="0.3">
      <c r="A14" s="10" t="s">
        <v>72</v>
      </c>
      <c r="B14" s="5">
        <v>9364.6735050761727</v>
      </c>
    </row>
    <row r="15" spans="1:2" x14ac:dyDescent="0.3">
      <c r="A15" s="10" t="s">
        <v>185</v>
      </c>
      <c r="B15" s="5">
        <v>95674.828463954007</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59207-605C-4065-9F95-3825E2F60DE5}">
  <dimension ref="A3:B9"/>
  <sheetViews>
    <sheetView workbookViewId="0">
      <selection activeCell="K17" sqref="K17"/>
    </sheetView>
  </sheetViews>
  <sheetFormatPr defaultRowHeight="14.4" x14ac:dyDescent="0.3"/>
  <cols>
    <col min="1" max="1" width="12.5546875" bestFit="1" customWidth="1"/>
    <col min="2" max="2" width="21.44140625" bestFit="1" customWidth="1"/>
  </cols>
  <sheetData>
    <row r="3" spans="1:2" x14ac:dyDescent="0.3">
      <c r="A3" s="9" t="s">
        <v>184</v>
      </c>
      <c r="B3" t="s">
        <v>192</v>
      </c>
    </row>
    <row r="4" spans="1:2" x14ac:dyDescent="0.3">
      <c r="A4" s="10" t="s">
        <v>39</v>
      </c>
      <c r="B4" s="2">
        <v>1.8036297116882525</v>
      </c>
    </row>
    <row r="5" spans="1:2" x14ac:dyDescent="0.3">
      <c r="A5" s="10" t="s">
        <v>61</v>
      </c>
      <c r="B5" s="2">
        <v>2.3627501450718813</v>
      </c>
    </row>
    <row r="6" spans="1:2" x14ac:dyDescent="0.3">
      <c r="A6" s="10" t="s">
        <v>28</v>
      </c>
      <c r="B6" s="2">
        <v>2.4657860307644701</v>
      </c>
    </row>
    <row r="7" spans="1:2" x14ac:dyDescent="0.3">
      <c r="A7" s="10" t="s">
        <v>52</v>
      </c>
      <c r="B7" s="2">
        <v>2.3373974005913398</v>
      </c>
    </row>
    <row r="8" spans="1:2" x14ac:dyDescent="0.3">
      <c r="A8" s="10" t="s">
        <v>44</v>
      </c>
      <c r="B8" s="2">
        <v>2.6654083441492014</v>
      </c>
    </row>
    <row r="9" spans="1:2" x14ac:dyDescent="0.3">
      <c r="A9" s="10" t="s">
        <v>185</v>
      </c>
      <c r="B9" s="2">
        <v>2.2771579927396099</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47093-51AD-44B5-8D00-57FFA39A05F9}">
  <dimension ref="A8:X13"/>
  <sheetViews>
    <sheetView showGridLines="0" tabSelected="1" topLeftCell="A7" zoomScale="75" zoomScaleNormal="75" workbookViewId="0">
      <selection activeCell="AA26" sqref="AA26"/>
    </sheetView>
  </sheetViews>
  <sheetFormatPr defaultRowHeight="14.4" x14ac:dyDescent="0.3"/>
  <sheetData>
    <row r="8" spans="1:24" x14ac:dyDescent="0.3">
      <c r="A8" s="12"/>
      <c r="B8" s="12"/>
      <c r="C8" s="12"/>
      <c r="D8" s="12"/>
      <c r="E8" s="12"/>
      <c r="F8" s="12"/>
      <c r="G8" s="12"/>
      <c r="H8" s="12"/>
      <c r="I8" s="12"/>
      <c r="J8" s="12"/>
      <c r="K8" s="12"/>
      <c r="L8" s="12"/>
      <c r="M8" s="12"/>
      <c r="N8" s="12"/>
      <c r="O8" s="12"/>
      <c r="P8" s="12"/>
      <c r="Q8" s="12"/>
      <c r="R8" s="12"/>
      <c r="S8" s="12"/>
      <c r="T8" s="12"/>
      <c r="U8" s="12"/>
      <c r="V8" s="12"/>
      <c r="W8" s="12"/>
      <c r="X8" s="12"/>
    </row>
    <row r="9" spans="1:24" x14ac:dyDescent="0.3">
      <c r="A9" s="12"/>
      <c r="B9" s="12"/>
      <c r="C9" s="12"/>
      <c r="D9" s="12"/>
      <c r="E9" s="12"/>
      <c r="F9" s="12"/>
      <c r="G9" s="12"/>
      <c r="H9" s="12"/>
      <c r="I9" s="12"/>
      <c r="J9" s="12"/>
      <c r="K9" s="12"/>
      <c r="L9" s="12"/>
      <c r="M9" s="12"/>
      <c r="N9" s="12"/>
      <c r="O9" s="12"/>
      <c r="P9" s="12"/>
      <c r="Q9" s="12"/>
      <c r="R9" s="12"/>
      <c r="S9" s="12"/>
      <c r="T9" s="12"/>
      <c r="U9" s="12"/>
      <c r="V9" s="12"/>
      <c r="W9" s="12"/>
      <c r="X9" s="12"/>
    </row>
    <row r="10" spans="1:24" x14ac:dyDescent="0.3">
      <c r="A10" s="12"/>
      <c r="B10" s="12"/>
      <c r="C10" s="12"/>
      <c r="D10" s="12"/>
      <c r="E10" s="12"/>
      <c r="F10" s="12"/>
      <c r="G10" s="12"/>
      <c r="H10" s="12"/>
      <c r="I10" s="12"/>
      <c r="J10" s="12"/>
      <c r="K10" s="12"/>
      <c r="L10" s="12"/>
      <c r="M10" s="12"/>
      <c r="N10" s="12"/>
      <c r="O10" s="12"/>
      <c r="P10" s="12"/>
      <c r="Q10" s="12"/>
      <c r="R10" s="12"/>
      <c r="S10" s="12"/>
      <c r="T10" s="12"/>
      <c r="U10" s="12"/>
      <c r="V10" s="12"/>
      <c r="W10" s="12"/>
      <c r="X10" s="12"/>
    </row>
    <row r="11" spans="1:24" x14ac:dyDescent="0.3">
      <c r="A11" s="12"/>
      <c r="B11" s="12"/>
      <c r="C11" s="12"/>
      <c r="D11" s="12"/>
      <c r="E11" s="12"/>
      <c r="F11" s="12"/>
      <c r="G11" s="12"/>
      <c r="H11" s="12"/>
      <c r="I11" s="12"/>
      <c r="J11" s="12"/>
      <c r="K11" s="12"/>
      <c r="L11" s="12"/>
      <c r="M11" s="12"/>
      <c r="N11" s="12"/>
      <c r="O11" s="12"/>
      <c r="P11" s="12"/>
      <c r="Q11" s="12"/>
      <c r="R11" s="12"/>
      <c r="S11" s="12"/>
      <c r="T11" s="12"/>
      <c r="U11" s="12"/>
      <c r="V11" s="12"/>
      <c r="W11" s="12"/>
      <c r="X11" s="12"/>
    </row>
    <row r="12" spans="1:24" x14ac:dyDescent="0.3">
      <c r="A12" s="12"/>
      <c r="B12" s="12"/>
      <c r="C12" s="12"/>
      <c r="D12" s="12"/>
      <c r="E12" s="12"/>
      <c r="F12" s="12"/>
      <c r="G12" s="12"/>
      <c r="H12" s="12"/>
      <c r="I12" s="12"/>
      <c r="J12" s="12"/>
      <c r="K12" s="12"/>
      <c r="L12" s="12"/>
      <c r="M12" s="12"/>
      <c r="N12" s="12"/>
      <c r="O12" s="12"/>
      <c r="P12" s="12"/>
      <c r="Q12" s="12"/>
      <c r="R12" s="12"/>
      <c r="S12" s="12"/>
      <c r="T12" s="12"/>
      <c r="U12" s="12"/>
      <c r="V12" s="12"/>
      <c r="W12" s="12"/>
      <c r="X12" s="12"/>
    </row>
    <row r="13" spans="1:24" x14ac:dyDescent="0.3">
      <c r="A13" s="12"/>
      <c r="B13" s="12"/>
      <c r="C13" s="12"/>
      <c r="D13" s="12"/>
      <c r="E13" s="12"/>
      <c r="F13" s="12"/>
      <c r="G13" s="12"/>
      <c r="H13" s="12"/>
      <c r="I13" s="12"/>
      <c r="J13" s="12"/>
      <c r="K13" s="12"/>
      <c r="L13" s="12"/>
      <c r="M13" s="12"/>
      <c r="N13" s="12"/>
      <c r="O13" s="12"/>
      <c r="P13" s="12"/>
      <c r="Q13" s="12"/>
      <c r="R13" s="12"/>
      <c r="S13" s="12"/>
      <c r="T13" s="12"/>
      <c r="U13" s="12"/>
      <c r="V13" s="12"/>
      <c r="W13" s="12"/>
      <c r="X13" s="12"/>
    </row>
  </sheetData>
  <mergeCells count="1">
    <mergeCell ref="A8:X1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B3B7AFE-539A-4FED-9DD1-A43F8A4D5A4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Raw_Data </vt:lpstr>
      <vt:lpstr>Data_Cleaning</vt:lpstr>
      <vt:lpstr>Analysis</vt:lpstr>
      <vt:lpstr>PT_Product_Revenue</vt:lpstr>
      <vt:lpstr>PT_Product_Sales</vt:lpstr>
      <vt:lpstr>PT_Supplier_Revenue</vt:lpstr>
      <vt:lpstr>PT_Supplier_LeadTime</vt:lpstr>
      <vt:lpstr>PT_Transportation</vt:lpstr>
      <vt:lpstr>PT_Inspection</vt:lpstr>
      <vt:lpstr>Top-_10_Product</vt:lpstr>
      <vt:lpstr>PT_Defect_Rate_Supplier</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HM SOUMYA</dc:creator>
  <cp:lastModifiedBy>HM SOUMYA</cp:lastModifiedBy>
  <dcterms:created xsi:type="dcterms:W3CDTF">2026-08-25T07:33:17Z</dcterms:created>
  <dcterms:modified xsi:type="dcterms:W3CDTF">2026-10-16T04:46:01Z</dcterms:modified>
</cp:coreProperties>
</file>